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56" firstSheet="1" activeTab="8"/>
  </bookViews>
  <sheets>
    <sheet name="QuantumComputer" sheetId="11" r:id="rId1"/>
    <sheet name="SavedCircuits" sheetId="30" r:id="rId2"/>
    <sheet name="CircuitDiagram" sheetId="5" r:id="rId3"/>
    <sheet name="CNOT" sheetId="10" r:id="rId4"/>
    <sheet name="R" sheetId="25" r:id="rId5"/>
    <sheet name="States" sheetId="31" r:id="rId6"/>
    <sheet name="Sheet1" sheetId="1" r:id="rId7"/>
    <sheet name="Sheet2" sheetId="2" r:id="rId8"/>
    <sheet name="RoughWorking" sheetId="20" r:id="rId9"/>
    <sheet name="Quantum Teleportation" sheetId="29" r:id="rId10"/>
    <sheet name="OperatorMatrix01" sheetId="6" r:id="rId11"/>
    <sheet name="OperatorMatrix02" sheetId="7" r:id="rId12"/>
    <sheet name="OperatorMatrix03" sheetId="8" r:id="rId13"/>
    <sheet name="OperatorMatrix04" sheetId="9" r:id="rId14"/>
    <sheet name="OperatorMatrix05" sheetId="19" r:id="rId15"/>
    <sheet name="OperatorMatrix06" sheetId="21" r:id="rId16"/>
    <sheet name="OperatorMatrix07" sheetId="22" r:id="rId17"/>
    <sheet name="OperatorMatrix08" sheetId="26" r:id="rId18"/>
    <sheet name="OperatorMatrix09" sheetId="27" r:id="rId19"/>
    <sheet name="OperatorMatrix10" sheetId="28" r:id="rId20"/>
    <sheet name="OperatorMatrix11" sheetId="32" r:id="rId21"/>
    <sheet name="OperatorMatrix12" sheetId="33" r:id="rId22"/>
    <sheet name="OperatorMatrix13" sheetId="34" r:id="rId23"/>
    <sheet name="OperatorMatrix14" sheetId="35" r:id="rId24"/>
    <sheet name="OperatorMatrix15" sheetId="36" r:id="rId25"/>
    <sheet name="OperatorMatrix16" sheetId="37" r:id="rId26"/>
    <sheet name="OperatorMatrix17" sheetId="38" r:id="rId27"/>
    <sheet name="OperatorMatrix18" sheetId="39" r:id="rId28"/>
    <sheet name="OperatorMatrix19" sheetId="40" r:id="rId29"/>
    <sheet name="OperatorMatrix20" sheetId="41" r:id="rId30"/>
    <sheet name="Sheet3" sheetId="3" r:id="rId31"/>
  </sheets>
  <functionGroups builtInGroupCount="18"/>
  <definedNames>
    <definedName name="A">Sheet1!$AB$2:$AC$3</definedName>
    <definedName name="CNOT1on2">CNOT!$F$5:$I$8</definedName>
    <definedName name="CNOT1on3">CNOT!$P$5:$W$12</definedName>
    <definedName name="CNOT1on4">CNOT!$AD$5:$AS$20</definedName>
    <definedName name="CNOT2on1">CNOT!$F$11:$I$14</definedName>
    <definedName name="CNOT2on3">CNOT!$P$15:$W$22</definedName>
    <definedName name="CNOT2on4">CNOT!$AD$23:$AS$38</definedName>
    <definedName name="CNOT3on1">CNOT!$P$25:$W$32</definedName>
    <definedName name="CNOT3on2">CNOT!$P$35:$W$42</definedName>
    <definedName name="CNOT3on4">CNOT!$AD$41:$AS$56</definedName>
    <definedName name="CNOT4on1">CNOT!$AD$59:$AS$74</definedName>
    <definedName name="CNOT4on2">CNOT!$AD$77:$AS$92</definedName>
    <definedName name="CNOT4on3">CNOT!$AD$95:$AS$110</definedName>
    <definedName name="G">Sheet1!$AR$6:$AS$7</definedName>
    <definedName name="Gates01">CircuitDiagram!$D$4:$D$5</definedName>
    <definedName name="Gates02">CircuitDiagram!$E$4:$E$5</definedName>
    <definedName name="Gates03">CircuitDiagram!$F$4:$F$5</definedName>
    <definedName name="Gates04">CircuitDiagram!$G$4:$G$5</definedName>
    <definedName name="Gates05">CircuitDiagram!$H$4:$H$5</definedName>
    <definedName name="Gates06">CircuitDiagram!$I$4:$I$5</definedName>
    <definedName name="Gates07">CircuitDiagram!$J$4:$J$5</definedName>
    <definedName name="Gates08">CircuitDiagram!$K$4:$K$5</definedName>
    <definedName name="Gates09">CircuitDiagram!$L$4:$L$5</definedName>
    <definedName name="Gates10">CircuitDiagram!$M$4:$M$5</definedName>
    <definedName name="Gates11">CircuitDiagram!$N$4:$N$5</definedName>
    <definedName name="Gates12">CircuitDiagram!$O$4:$O$5</definedName>
    <definedName name="Gates13">CircuitDiagram!$P$4:$P$5</definedName>
    <definedName name="Gates14">CircuitDiagram!$Q$4:$Q$5</definedName>
    <definedName name="Gates15">CircuitDiagram!$R$4:$R$5</definedName>
    <definedName name="Gates16">CircuitDiagram!$S$4:$S$5</definedName>
    <definedName name="Gates17">CircuitDiagram!$T$4:$T$5</definedName>
    <definedName name="Gates18">CircuitDiagram!$U$4:$U$5</definedName>
    <definedName name="Gates19">CircuitDiagram!$V$4:$V$5</definedName>
    <definedName name="Gates20">CircuitDiagram!$W$4:$W$5</definedName>
    <definedName name="H">Sheet1!$T$2:$U$3</definedName>
    <definedName name="I">Sheet1!$D$2:$E$3</definedName>
    <definedName name="InitialStatesVector">QuantumComputer!$F$13:$F$16</definedName>
    <definedName name="L">Sheet1!$AR$2:$AS$3</definedName>
    <definedName name="M">Sheet1!$AF$2:$AG$3</definedName>
    <definedName name="N">Sheet1!$AJ$2:$AK$3</definedName>
    <definedName name="OperatorMatrix1">QuantumComputer!$J$13:$M$16</definedName>
    <definedName name="OperatorMatrix2">QuantumComputer!$W$13:$Z$16</definedName>
    <definedName name="OperatorMatrix3">QuantumComputer!$AJ$13:$AM$16</definedName>
    <definedName name="OperatorMatrix4">QuantumComputer!$AW$13:$AZ$16</definedName>
    <definedName name="OperatorMatrix5">QuantumComputer!$BJ$13:$BM$16</definedName>
    <definedName name="OperatorMatrixGates01">OperatorMatrix01!$J$13:$M$16</definedName>
    <definedName name="OperatorMatrixGates02">OperatorMatrix02!$J$13:$M$16</definedName>
    <definedName name="OperatorMatrixGates03">OperatorMatrix03!$J$13:$M$16</definedName>
    <definedName name="OperatorMatrixGates04">OperatorMatrix04!$J$13:$M$16</definedName>
    <definedName name="OperatorMatrixGates05">OperatorMatrix05!$J$13:$M$16</definedName>
    <definedName name="P">Sheet1!$AZ$2:$BA$3</definedName>
    <definedName name="PossibleStatesVector01">RoughWorking!$I$13:$I$16</definedName>
    <definedName name="PossibleStatesVector02">RoughWorking!$S$13:$S$16</definedName>
    <definedName name="PossibleStatesVector03">RoughWorking!$AC$13:$AC$16</definedName>
    <definedName name="PossibleStatesVector04">RoughWorking!$AM$13:$AM$16</definedName>
    <definedName name="PossibleStatesVector05">RoughWorking!$AW$13:$AW$16</definedName>
    <definedName name="RR21on2R">'R'!$F$5:$I$8</definedName>
    <definedName name="RR22on1R">'R'!$F$11:$I$14</definedName>
    <definedName name="RR23on2R">'R'!$P$15:$W$22</definedName>
    <definedName name="RR24on3R">'R'!$AD$41:$AS$56</definedName>
    <definedName name="RR33on1R">'R'!$P$5:$W$12</definedName>
    <definedName name="RR34on2R">'R'!$AD$23:$AS$38</definedName>
    <definedName name="RR44on1R">'R'!$AD$5:$AS$20</definedName>
    <definedName name="SState1S">States!$F$15:$F$16</definedName>
    <definedName name="SState2S">States!$F$11:$F$12</definedName>
    <definedName name="SState3S">States!$F$7:$F$8</definedName>
    <definedName name="SState4S">States!$F$3:$F$4</definedName>
    <definedName name="T">Sheet1!$X$2:$Y$3</definedName>
    <definedName name="X">Sheet1!$H$2:$I$3</definedName>
    <definedName name="Y">Sheet1!$L$2:$M$3</definedName>
    <definedName name="Z">Sheet1!$P$2:$Q$3</definedName>
  </definedNames>
  <calcPr calcId="152511"/>
</workbook>
</file>

<file path=xl/calcChain.xml><?xml version="1.0" encoding="utf-8"?>
<calcChain xmlns="http://schemas.openxmlformats.org/spreadsheetml/2006/main">
  <c r="AC3" i="1" l="1"/>
  <c r="BA3" i="1"/>
  <c r="W12" i="25" l="1"/>
  <c r="C3" i="31" l="1"/>
  <c r="C4" i="31" s="1"/>
  <c r="D4" i="31" s="1"/>
  <c r="D3" i="31" l="1"/>
  <c r="AR5" i="1"/>
  <c r="AR6" i="1" l="1"/>
  <c r="AS7" i="1" s="1"/>
  <c r="AS5" i="1"/>
  <c r="AS6" i="1" s="1"/>
  <c r="AR7" i="1" s="1"/>
  <c r="AF6" i="1"/>
  <c r="AK6" i="1" s="1"/>
  <c r="AN6" i="1" s="1"/>
  <c r="AF5" i="1"/>
  <c r="AQ54" i="25"/>
  <c r="AR55" i="25"/>
  <c r="AS56" i="25"/>
  <c r="AP53" i="25"/>
  <c r="AS38" i="25"/>
  <c r="AO34" i="25"/>
  <c r="AR37" i="25"/>
  <c r="AN33" i="25"/>
  <c r="AQ18" i="25"/>
  <c r="AS20" i="25"/>
  <c r="AO16" i="25"/>
  <c r="AM14" i="25"/>
  <c r="AK5" i="1" l="1"/>
  <c r="AO3" i="1" s="1"/>
  <c r="W22" i="25"/>
  <c r="V21" i="25"/>
  <c r="U10" i="25"/>
  <c r="I14" i="25"/>
  <c r="I8" i="25"/>
  <c r="Y3" i="1"/>
  <c r="AN3" i="1" l="1"/>
  <c r="AN5" i="1"/>
  <c r="AN2" i="1"/>
  <c r="AO2" i="1"/>
  <c r="T29" i="2"/>
  <c r="U29" i="2" s="1"/>
  <c r="T30" i="2"/>
  <c r="U30" i="2" s="1"/>
  <c r="T31" i="2"/>
  <c r="U31" i="2" s="1"/>
  <c r="T32" i="2"/>
  <c r="U32" i="2" s="1"/>
  <c r="T33" i="2"/>
  <c r="U33" i="2" s="1"/>
  <c r="T34" i="2"/>
  <c r="U34" i="2" s="1"/>
  <c r="T35" i="2"/>
  <c r="U35" i="2" s="1"/>
  <c r="T28" i="2"/>
  <c r="U28" i="2" s="1"/>
  <c r="B18" i="3"/>
  <c r="B17" i="3"/>
  <c r="Z41" i="2" l="1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40" i="2"/>
  <c r="U3" i="1"/>
  <c r="T3" i="1"/>
  <c r="U2" i="1"/>
  <c r="T2" i="1"/>
  <c r="AX6" i="1" l="1"/>
  <c r="AX5" i="1"/>
  <c r="AU6" i="1"/>
  <c r="AU5" i="1"/>
  <c r="S23" i="2" l="1"/>
  <c r="Y38" i="2" l="1"/>
  <c r="AA41" i="2" s="1"/>
  <c r="E6" i="3"/>
  <c r="E4" i="3"/>
  <c r="C5" i="3"/>
  <c r="C3" i="3"/>
  <c r="AA40" i="2" l="1"/>
  <c r="AA54" i="2"/>
  <c r="AA52" i="2"/>
  <c r="AA50" i="2"/>
  <c r="AA48" i="2"/>
  <c r="AA46" i="2"/>
  <c r="AA44" i="2"/>
  <c r="AA42" i="2"/>
  <c r="AA55" i="2"/>
  <c r="AA53" i="2"/>
  <c r="AA51" i="2"/>
  <c r="AA49" i="2"/>
  <c r="AA47" i="2"/>
  <c r="AA45" i="2"/>
  <c r="AA43" i="2"/>
  <c r="L3" i="1"/>
  <c r="M2" i="1"/>
  <c r="AA56" i="2" l="1"/>
  <c r="U36" i="2"/>
</calcChain>
</file>

<file path=xl/sharedStrings.xml><?xml version="1.0" encoding="utf-8"?>
<sst xmlns="http://schemas.openxmlformats.org/spreadsheetml/2006/main" count="142" uniqueCount="56">
  <si>
    <t>X</t>
  </si>
  <si>
    <t>I</t>
  </si>
  <si>
    <t>Y</t>
  </si>
  <si>
    <t>Z</t>
  </si>
  <si>
    <t>H</t>
  </si>
  <si>
    <t>T</t>
  </si>
  <si>
    <t xml:space="preserve"> </t>
  </si>
  <si>
    <t>Desired  output</t>
  </si>
  <si>
    <t>Each qubit is in a state.</t>
  </si>
  <si>
    <t>So we shall call our column vector the 'PossibleStatesVector', what's not to love.</t>
  </si>
  <si>
    <t>State</t>
  </si>
  <si>
    <t>2 qubit</t>
  </si>
  <si>
    <t>1 on 2</t>
  </si>
  <si>
    <t>2 on 1</t>
  </si>
  <si>
    <t>3 qubit</t>
  </si>
  <si>
    <t>1 on 3</t>
  </si>
  <si>
    <t>2 on 3</t>
  </si>
  <si>
    <t xml:space="preserve">3 on 1 </t>
  </si>
  <si>
    <t>3 on 2</t>
  </si>
  <si>
    <t>4 qubit</t>
  </si>
  <si>
    <t>1 on 4</t>
  </si>
  <si>
    <t>2 on 4</t>
  </si>
  <si>
    <t>3 on 4</t>
  </si>
  <si>
    <t>4 on 1</t>
  </si>
  <si>
    <t>4 on 2</t>
  </si>
  <si>
    <t>4 on 3</t>
  </si>
  <si>
    <t>CNOT3on1H</t>
  </si>
  <si>
    <t>M</t>
  </si>
  <si>
    <t>N</t>
  </si>
  <si>
    <t>G</t>
  </si>
  <si>
    <t>G calculation</t>
  </si>
  <si>
    <t>22on1R</t>
  </si>
  <si>
    <t>21on2R</t>
  </si>
  <si>
    <t>33on1R</t>
  </si>
  <si>
    <t>23on2R</t>
  </si>
  <si>
    <t>44on1R</t>
  </si>
  <si>
    <t>34on2R</t>
  </si>
  <si>
    <t>24on3R</t>
  </si>
  <si>
    <t>L</t>
  </si>
  <si>
    <t>RR24on3R</t>
  </si>
  <si>
    <t>RR34on2R</t>
  </si>
  <si>
    <t>RR44on1R</t>
  </si>
  <si>
    <t>RR23on2R</t>
  </si>
  <si>
    <t>RR33on1R</t>
  </si>
  <si>
    <t>RR22on1R</t>
  </si>
  <si>
    <t>Inverse QFT</t>
  </si>
  <si>
    <t>Deutsch-Jozsa 2 Qubit</t>
  </si>
  <si>
    <t>CNOT2on1</t>
  </si>
  <si>
    <t>CNOT3on1</t>
  </si>
  <si>
    <t>A</t>
  </si>
  <si>
    <t>CNOT3on2</t>
  </si>
  <si>
    <t>P</t>
  </si>
  <si>
    <t>Last four layers of Toffoli Gate</t>
  </si>
  <si>
    <t>First ten layers of Toffoli Gate</t>
  </si>
  <si>
    <t>C2C20C3C21</t>
  </si>
  <si>
    <t>CNOT1on2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</si>
</sst>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22"/>
      <color theme="1"/>
      <name val="Times New Roman"/>
      <family val="1"/>
    </font>
    <font>
      <sz val="2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rgb="FF000000"/>
      <name val="Calibri"/>
      <family val="2"/>
    </font>
    <font>
      <sz val="4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33"/>
        <bgColor indexed="64"/>
      </patternFill>
    </fill>
    <fill>
      <patternFill patternType="solid">
        <fgColor theme="9" tint="-0.2499465926084170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1" fontId="0" fillId="0" borderId="0" xfId="0" applyNumberFormat="1"/>
    <xf numFmtId="0" fontId="0" fillId="0" borderId="0" xfId="0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1</xdr:row>
          <xdr:rowOff>219075</xdr:rowOff>
        </xdr:from>
        <xdr:to>
          <xdr:col>29</xdr:col>
          <xdr:colOff>1019175</xdr:colOff>
          <xdr:row>2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CreateTensorString(1)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428625</xdr:colOff>
          <xdr:row>2</xdr:row>
          <xdr:rowOff>371475</xdr:rowOff>
        </xdr:from>
        <xdr:to>
          <xdr:col>29</xdr:col>
          <xdr:colOff>1009650</xdr:colOff>
          <xdr:row>3</xdr:row>
          <xdr:rowOff>371475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CreateTensorString(2)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3</xdr:row>
          <xdr:rowOff>571500</xdr:rowOff>
        </xdr:from>
        <xdr:to>
          <xdr:col>29</xdr:col>
          <xdr:colOff>1009650</xdr:colOff>
          <xdr:row>4</xdr:row>
          <xdr:rowOff>561975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IsStrAGate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4</xdr:row>
          <xdr:rowOff>781050</xdr:rowOff>
        </xdr:from>
        <xdr:to>
          <xdr:col>29</xdr:col>
          <xdr:colOff>1038225</xdr:colOff>
          <xdr:row>5</xdr:row>
          <xdr:rowOff>762000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IsProtectedRange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752475</xdr:colOff>
          <xdr:row>1</xdr:row>
          <xdr:rowOff>238125</xdr:rowOff>
        </xdr:from>
        <xdr:to>
          <xdr:col>28</xdr:col>
          <xdr:colOff>66675</xdr:colOff>
          <xdr:row>2</xdr:row>
          <xdr:rowOff>123825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IsTensorStrValid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733425</xdr:colOff>
          <xdr:row>2</xdr:row>
          <xdr:rowOff>314325</xdr:rowOff>
        </xdr:from>
        <xdr:to>
          <xdr:col>28</xdr:col>
          <xdr:colOff>47625</xdr:colOff>
          <xdr:row>3</xdr:row>
          <xdr:rowOff>104775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FindOrderOfGate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733425</xdr:colOff>
          <xdr:row>3</xdr:row>
          <xdr:rowOff>285750</xdr:rowOff>
        </xdr:from>
        <xdr:to>
          <xdr:col>28</xdr:col>
          <xdr:colOff>57150</xdr:colOff>
          <xdr:row>4</xdr:row>
          <xdr:rowOff>95250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bbTrim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1028700</xdr:colOff>
          <xdr:row>5</xdr:row>
          <xdr:rowOff>533400</xdr:rowOff>
        </xdr:from>
        <xdr:to>
          <xdr:col>4</xdr:col>
          <xdr:colOff>952500</xdr:colOff>
          <xdr:row>6</xdr:row>
          <xdr:rowOff>161925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Quantum Computer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0</xdr:row>
          <xdr:rowOff>190500</xdr:rowOff>
        </xdr:from>
        <xdr:to>
          <xdr:col>1</xdr:col>
          <xdr:colOff>695325</xdr:colOff>
          <xdr:row>0</xdr:row>
          <xdr:rowOff>685800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4</xdr:row>
          <xdr:rowOff>171450</xdr:rowOff>
        </xdr:from>
        <xdr:to>
          <xdr:col>2</xdr:col>
          <xdr:colOff>723900</xdr:colOff>
          <xdr:row>4</xdr:row>
          <xdr:rowOff>647700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Qubit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200025</xdr:rowOff>
        </xdr:from>
        <xdr:to>
          <xdr:col>2</xdr:col>
          <xdr:colOff>733425</xdr:colOff>
          <xdr:row>3</xdr:row>
          <xdr:rowOff>676275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 Qubits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</xdr:row>
          <xdr:rowOff>171450</xdr:rowOff>
        </xdr:from>
        <xdr:to>
          <xdr:col>2</xdr:col>
          <xdr:colOff>723900</xdr:colOff>
          <xdr:row>2</xdr:row>
          <xdr:rowOff>647700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Qubits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219075</xdr:rowOff>
        </xdr:from>
        <xdr:to>
          <xdr:col>2</xdr:col>
          <xdr:colOff>733425</xdr:colOff>
          <xdr:row>1</xdr:row>
          <xdr:rowOff>695325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Qubits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5</xdr:row>
          <xdr:rowOff>552450</xdr:rowOff>
        </xdr:from>
        <xdr:to>
          <xdr:col>7</xdr:col>
          <xdr:colOff>485775</xdr:colOff>
          <xdr:row>6</xdr:row>
          <xdr:rowOff>200025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5</xdr:row>
          <xdr:rowOff>533400</xdr:rowOff>
        </xdr:from>
        <xdr:to>
          <xdr:col>10</xdr:col>
          <xdr:colOff>228600</xdr:colOff>
          <xdr:row>6</xdr:row>
          <xdr:rowOff>209550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Normailisation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0</xdr:row>
          <xdr:rowOff>304800</xdr:rowOff>
        </xdr:from>
        <xdr:to>
          <xdr:col>3</xdr:col>
          <xdr:colOff>942975</xdr:colOff>
          <xdr:row>0</xdr:row>
          <xdr:rowOff>704850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295275</xdr:rowOff>
        </xdr:from>
        <xdr:to>
          <xdr:col>4</xdr:col>
          <xdr:colOff>962025</xdr:colOff>
          <xdr:row>0</xdr:row>
          <xdr:rowOff>695325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295275</xdr:rowOff>
        </xdr:from>
        <xdr:to>
          <xdr:col>5</xdr:col>
          <xdr:colOff>914400</xdr:colOff>
          <xdr:row>0</xdr:row>
          <xdr:rowOff>695325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295275</xdr:rowOff>
        </xdr:from>
        <xdr:to>
          <xdr:col>6</xdr:col>
          <xdr:colOff>914400</xdr:colOff>
          <xdr:row>0</xdr:row>
          <xdr:rowOff>695325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295275</xdr:rowOff>
        </xdr:from>
        <xdr:to>
          <xdr:col>7</xdr:col>
          <xdr:colOff>914400</xdr:colOff>
          <xdr:row>0</xdr:row>
          <xdr:rowOff>695325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295275</xdr:rowOff>
        </xdr:from>
        <xdr:to>
          <xdr:col>8</xdr:col>
          <xdr:colOff>914400</xdr:colOff>
          <xdr:row>0</xdr:row>
          <xdr:rowOff>695325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295275</xdr:rowOff>
        </xdr:from>
        <xdr:to>
          <xdr:col>9</xdr:col>
          <xdr:colOff>914400</xdr:colOff>
          <xdr:row>0</xdr:row>
          <xdr:rowOff>695325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295275</xdr:rowOff>
        </xdr:from>
        <xdr:to>
          <xdr:col>10</xdr:col>
          <xdr:colOff>914400</xdr:colOff>
          <xdr:row>0</xdr:row>
          <xdr:rowOff>695325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295275</xdr:rowOff>
        </xdr:from>
        <xdr:to>
          <xdr:col>11</xdr:col>
          <xdr:colOff>914400</xdr:colOff>
          <xdr:row>0</xdr:row>
          <xdr:rowOff>695325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0</xdr:row>
          <xdr:rowOff>295275</xdr:rowOff>
        </xdr:from>
        <xdr:to>
          <xdr:col>12</xdr:col>
          <xdr:colOff>914400</xdr:colOff>
          <xdr:row>0</xdr:row>
          <xdr:rowOff>695325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657225</xdr:colOff>
          <xdr:row>5</xdr:row>
          <xdr:rowOff>504825</xdr:rowOff>
        </xdr:from>
        <xdr:to>
          <xdr:col>12</xdr:col>
          <xdr:colOff>742950</xdr:colOff>
          <xdr:row>6</xdr:row>
          <xdr:rowOff>180975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0</xdr:row>
          <xdr:rowOff>304800</xdr:rowOff>
        </xdr:from>
        <xdr:to>
          <xdr:col>13</xdr:col>
          <xdr:colOff>942975</xdr:colOff>
          <xdr:row>0</xdr:row>
          <xdr:rowOff>704850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11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295275</xdr:rowOff>
        </xdr:from>
        <xdr:to>
          <xdr:col>14</xdr:col>
          <xdr:colOff>962025</xdr:colOff>
          <xdr:row>0</xdr:row>
          <xdr:rowOff>695325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12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0</xdr:row>
          <xdr:rowOff>295275</xdr:rowOff>
        </xdr:from>
        <xdr:to>
          <xdr:col>15</xdr:col>
          <xdr:colOff>914400</xdr:colOff>
          <xdr:row>0</xdr:row>
          <xdr:rowOff>695325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13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295275</xdr:rowOff>
        </xdr:from>
        <xdr:to>
          <xdr:col>16</xdr:col>
          <xdr:colOff>914400</xdr:colOff>
          <xdr:row>0</xdr:row>
          <xdr:rowOff>695325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14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295275</xdr:rowOff>
        </xdr:from>
        <xdr:to>
          <xdr:col>17</xdr:col>
          <xdr:colOff>914400</xdr:colOff>
          <xdr:row>0</xdr:row>
          <xdr:rowOff>695325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295275</xdr:rowOff>
        </xdr:from>
        <xdr:to>
          <xdr:col>18</xdr:col>
          <xdr:colOff>914400</xdr:colOff>
          <xdr:row>0</xdr:row>
          <xdr:rowOff>695325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16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0</xdr:row>
          <xdr:rowOff>295275</xdr:rowOff>
        </xdr:from>
        <xdr:to>
          <xdr:col>19</xdr:col>
          <xdr:colOff>914400</xdr:colOff>
          <xdr:row>0</xdr:row>
          <xdr:rowOff>695325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17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0</xdr:row>
          <xdr:rowOff>295275</xdr:rowOff>
        </xdr:from>
        <xdr:to>
          <xdr:col>20</xdr:col>
          <xdr:colOff>914400</xdr:colOff>
          <xdr:row>0</xdr:row>
          <xdr:rowOff>695325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18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295275</xdr:rowOff>
        </xdr:from>
        <xdr:to>
          <xdr:col>21</xdr:col>
          <xdr:colOff>914400</xdr:colOff>
          <xdr:row>0</xdr:row>
          <xdr:rowOff>695325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19 Layers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0</xdr:row>
          <xdr:rowOff>295275</xdr:rowOff>
        </xdr:from>
        <xdr:to>
          <xdr:col>22</xdr:col>
          <xdr:colOff>914400</xdr:colOff>
          <xdr:row>0</xdr:row>
          <xdr:rowOff>695325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 Layers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16</xdr:row>
          <xdr:rowOff>238125</xdr:rowOff>
        </xdr:from>
        <xdr:to>
          <xdr:col>5</xdr:col>
          <xdr:colOff>1619250</xdr:colOff>
          <xdr:row>18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4 Qubit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19</xdr:row>
          <xdr:rowOff>85725</xdr:rowOff>
        </xdr:from>
        <xdr:to>
          <xdr:col>5</xdr:col>
          <xdr:colOff>1619250</xdr:colOff>
          <xdr:row>20</xdr:row>
          <xdr:rowOff>476250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3 Qubit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22</xdr:row>
          <xdr:rowOff>47625</xdr:rowOff>
        </xdr:from>
        <xdr:to>
          <xdr:col>5</xdr:col>
          <xdr:colOff>1619250</xdr:colOff>
          <xdr:row>23</xdr:row>
          <xdr:rowOff>438150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Generate 2 Qubit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25</xdr:row>
          <xdr:rowOff>47625</xdr:rowOff>
        </xdr:from>
        <xdr:to>
          <xdr:col>6</xdr:col>
          <xdr:colOff>19050</xdr:colOff>
          <xdr:row>26</xdr:row>
          <xdr:rowOff>438150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Normalization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27</xdr:row>
          <xdr:rowOff>457200</xdr:rowOff>
        </xdr:from>
        <xdr:to>
          <xdr:col>6</xdr:col>
          <xdr:colOff>0</xdr:colOff>
          <xdr:row>29</xdr:row>
          <xdr:rowOff>457200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9525</xdr:rowOff>
        </xdr:from>
        <xdr:to>
          <xdr:col>11</xdr:col>
          <xdr:colOff>495300</xdr:colOff>
          <xdr:row>7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Tensor Multiply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552450</xdr:rowOff>
        </xdr:from>
        <xdr:to>
          <xdr:col>23</xdr:col>
          <xdr:colOff>1257300</xdr:colOff>
          <xdr:row>7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4</xdr:row>
          <xdr:rowOff>38100</xdr:rowOff>
        </xdr:from>
        <xdr:to>
          <xdr:col>7</xdr:col>
          <xdr:colOff>0</xdr:colOff>
          <xdr:row>7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180975</xdr:rowOff>
        </xdr:from>
        <xdr:to>
          <xdr:col>10</xdr:col>
          <xdr:colOff>0</xdr:colOff>
          <xdr:row>22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operation to 3 Qubit Array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10</xdr:col>
          <xdr:colOff>9525</xdr:colOff>
          <xdr:row>38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operation to 4 Qubit Array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0</xdr:rowOff>
        </xdr:from>
        <xdr:to>
          <xdr:col>17</xdr:col>
          <xdr:colOff>0</xdr:colOff>
          <xdr:row>22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States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190500</xdr:rowOff>
        </xdr:from>
        <xdr:to>
          <xdr:col>10</xdr:col>
          <xdr:colOff>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Operation to 2 Qubit Array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</xdr:row>
          <xdr:rowOff>152400</xdr:rowOff>
        </xdr:from>
        <xdr:to>
          <xdr:col>4</xdr:col>
          <xdr:colOff>400050</xdr:colOff>
          <xdr:row>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PM AM and OM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0</xdr:rowOff>
        </xdr:from>
        <xdr:to>
          <xdr:col>2</xdr:col>
          <xdr:colOff>590550</xdr:colOff>
          <xdr:row>0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0</xdr:rowOff>
        </xdr:from>
        <xdr:to>
          <xdr:col>5</xdr:col>
          <xdr:colOff>190500</xdr:colOff>
          <xdr:row>0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</xdr:row>
      <xdr:rowOff>57150</xdr:rowOff>
    </xdr:from>
    <xdr:to>
      <xdr:col>12</xdr:col>
      <xdr:colOff>424053</xdr:colOff>
      <xdr:row>54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247650"/>
          <a:ext cx="7158228" cy="10058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5</xdr:row>
      <xdr:rowOff>28575</xdr:rowOff>
    </xdr:from>
    <xdr:to>
      <xdr:col>13</xdr:col>
      <xdr:colOff>94124</xdr:colOff>
      <xdr:row>40</xdr:row>
      <xdr:rowOff>180975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125" y="981075"/>
          <a:ext cx="4351799" cy="6819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F13:BM28"/>
  <sheetViews>
    <sheetView topLeftCell="BD2" zoomScaleNormal="100" workbookViewId="0">
      <selection activeCell="BJ17" sqref="BJ17"/>
    </sheetView>
  </sheetViews>
  <sheetFormatPr defaultRowHeight="15" x14ac:dyDescent="0.25"/>
  <sheetData>
    <row r="13" spans="6:65" x14ac:dyDescent="0.25">
      <c r="F13">
        <v>0</v>
      </c>
      <c r="J13">
        <v>0.499999999999999</v>
      </c>
      <c r="K13" s="7">
        <v>0.499999999999999</v>
      </c>
      <c r="L13" s="7">
        <v>0.499999999999999</v>
      </c>
      <c r="M13">
        <v>0.499999999999999</v>
      </c>
      <c r="S13" s="7"/>
      <c r="T13" s="7"/>
      <c r="U13" s="7"/>
      <c r="V13" s="7"/>
      <c r="W13" s="7">
        <v>0</v>
      </c>
      <c r="X13">
        <v>0</v>
      </c>
      <c r="Y13">
        <v>0</v>
      </c>
      <c r="Z13">
        <v>1</v>
      </c>
      <c r="AJ13">
        <v>1</v>
      </c>
      <c r="AK13">
        <v>0</v>
      </c>
      <c r="AL13">
        <v>0</v>
      </c>
      <c r="AM13">
        <v>0</v>
      </c>
      <c r="AW13">
        <v>0</v>
      </c>
      <c r="AX13">
        <v>0</v>
      </c>
      <c r="AY13">
        <v>0</v>
      </c>
      <c r="AZ13">
        <v>1</v>
      </c>
      <c r="BJ13">
        <v>0.499999999999999</v>
      </c>
      <c r="BK13">
        <v>0.499999999999999</v>
      </c>
      <c r="BL13">
        <v>0.499999999999999</v>
      </c>
      <c r="BM13">
        <v>0.499999999999999</v>
      </c>
    </row>
    <row r="14" spans="6:65" x14ac:dyDescent="0.25">
      <c r="F14">
        <v>0</v>
      </c>
      <c r="J14" s="7">
        <v>0.499999999999999</v>
      </c>
      <c r="K14">
        <v>-0.499999999999999</v>
      </c>
      <c r="L14">
        <v>0.499999999999999</v>
      </c>
      <c r="M14" s="7">
        <v>-0.499999999999999</v>
      </c>
      <c r="R14" s="7"/>
      <c r="T14" s="7"/>
      <c r="U14" s="7"/>
      <c r="V14" s="7"/>
      <c r="W14" s="7">
        <v>0</v>
      </c>
      <c r="X14">
        <v>0</v>
      </c>
      <c r="Y14">
        <v>1</v>
      </c>
      <c r="Z14">
        <v>0</v>
      </c>
      <c r="AJ14">
        <v>0</v>
      </c>
      <c r="AK14">
        <v>0</v>
      </c>
      <c r="AL14">
        <v>0</v>
      </c>
      <c r="AM14">
        <v>1</v>
      </c>
      <c r="AW14">
        <v>0</v>
      </c>
      <c r="AX14">
        <v>0</v>
      </c>
      <c r="AY14">
        <v>1</v>
      </c>
      <c r="AZ14">
        <v>0</v>
      </c>
      <c r="BJ14">
        <v>0.499999999999999</v>
      </c>
      <c r="BK14">
        <v>-0.499999999999999</v>
      </c>
      <c r="BL14">
        <v>0.499999999999999</v>
      </c>
      <c r="BM14">
        <v>-0.499999999999999</v>
      </c>
    </row>
    <row r="15" spans="6:65" x14ac:dyDescent="0.25">
      <c r="F15">
        <v>1</v>
      </c>
      <c r="J15" s="7">
        <v>0.499999999999999</v>
      </c>
      <c r="K15">
        <v>0.499999999999999</v>
      </c>
      <c r="L15">
        <v>-0.499999999999999</v>
      </c>
      <c r="M15" s="7">
        <v>-0.499999999999999</v>
      </c>
      <c r="R15" s="7"/>
      <c r="S15" s="7"/>
      <c r="U15" s="7"/>
      <c r="W15">
        <v>0</v>
      </c>
      <c r="X15" s="7">
        <v>1</v>
      </c>
      <c r="Y15" s="7">
        <v>0</v>
      </c>
      <c r="Z15">
        <v>0</v>
      </c>
      <c r="AJ15">
        <v>0</v>
      </c>
      <c r="AK15">
        <v>0</v>
      </c>
      <c r="AL15">
        <v>1</v>
      </c>
      <c r="AM15">
        <v>0</v>
      </c>
      <c r="AW15">
        <v>0</v>
      </c>
      <c r="AX15">
        <v>1</v>
      </c>
      <c r="AY15">
        <v>0</v>
      </c>
      <c r="AZ15">
        <v>0</v>
      </c>
      <c r="BJ15">
        <v>0.499999999999999</v>
      </c>
      <c r="BK15">
        <v>0.499999999999999</v>
      </c>
      <c r="BL15">
        <v>-0.499999999999999</v>
      </c>
      <c r="BM15">
        <v>-0.499999999999999</v>
      </c>
    </row>
    <row r="16" spans="6:65" x14ac:dyDescent="0.25">
      <c r="F16">
        <v>0</v>
      </c>
      <c r="J16">
        <v>0.499999999999999</v>
      </c>
      <c r="K16" s="7">
        <v>-0.499999999999999</v>
      </c>
      <c r="L16" s="7">
        <v>-0.499999999999999</v>
      </c>
      <c r="M16">
        <v>0.499999999999999</v>
      </c>
      <c r="R16" s="7"/>
      <c r="S16" s="7"/>
      <c r="T16" s="7"/>
      <c r="W16">
        <v>1</v>
      </c>
      <c r="X16" s="7">
        <v>0</v>
      </c>
      <c r="Y16" s="7">
        <v>0</v>
      </c>
      <c r="Z16">
        <v>0</v>
      </c>
      <c r="AJ16">
        <v>0</v>
      </c>
      <c r="AK16">
        <v>1</v>
      </c>
      <c r="AL16">
        <v>0</v>
      </c>
      <c r="AM16">
        <v>0</v>
      </c>
      <c r="AW16">
        <v>1</v>
      </c>
      <c r="AX16">
        <v>0</v>
      </c>
      <c r="AY16">
        <v>0</v>
      </c>
      <c r="AZ16">
        <v>0</v>
      </c>
      <c r="BJ16">
        <v>0.499999999999999</v>
      </c>
      <c r="BK16">
        <v>-0.499999999999999</v>
      </c>
      <c r="BL16">
        <v>-0.499999999999999</v>
      </c>
      <c r="BM16">
        <v>0.499999999999999</v>
      </c>
    </row>
    <row r="17" spans="6:25" x14ac:dyDescent="0.25">
      <c r="F17">
        <v>0</v>
      </c>
      <c r="O17" s="7"/>
      <c r="P17" s="7"/>
      <c r="R17" s="7"/>
      <c r="S17" s="7"/>
      <c r="W17" s="7"/>
      <c r="X17" s="7"/>
      <c r="Y17" s="7"/>
    </row>
    <row r="18" spans="6:25" x14ac:dyDescent="0.25">
      <c r="F18">
        <v>0</v>
      </c>
      <c r="N18" s="7"/>
      <c r="Q18" s="7"/>
      <c r="R18" s="7"/>
      <c r="S18" s="7"/>
      <c r="V18" s="7"/>
      <c r="X18" s="7"/>
      <c r="Y18" s="7"/>
    </row>
    <row r="19" spans="6:25" x14ac:dyDescent="0.25">
      <c r="F19">
        <v>0</v>
      </c>
      <c r="N19" s="7"/>
      <c r="Q19" s="7"/>
      <c r="T19" s="7"/>
      <c r="U19" s="7"/>
      <c r="V19" s="7"/>
      <c r="W19" s="7"/>
      <c r="Y19" s="7"/>
    </row>
    <row r="20" spans="6:25" x14ac:dyDescent="0.25">
      <c r="F20">
        <v>0</v>
      </c>
      <c r="O20" s="7"/>
      <c r="P20" s="7"/>
      <c r="T20" s="7"/>
      <c r="U20" s="7"/>
      <c r="V20" s="7"/>
      <c r="W20" s="7"/>
      <c r="X20" s="7"/>
    </row>
    <row r="21" spans="6:25" x14ac:dyDescent="0.25">
      <c r="F21">
        <v>0</v>
      </c>
      <c r="K21" s="7"/>
      <c r="L21" s="7"/>
      <c r="M21" s="7"/>
      <c r="N21" s="7"/>
      <c r="O21" s="7"/>
      <c r="S21" s="7"/>
      <c r="T21" s="7"/>
    </row>
    <row r="22" spans="6:25" x14ac:dyDescent="0.25">
      <c r="F22">
        <v>0</v>
      </c>
      <c r="J22" s="7"/>
      <c r="L22" s="7"/>
      <c r="M22" s="7"/>
      <c r="N22" s="7"/>
      <c r="O22" s="7"/>
      <c r="R22" s="7"/>
      <c r="U22" s="7"/>
    </row>
    <row r="23" spans="6:25" x14ac:dyDescent="0.25">
      <c r="F23">
        <v>0</v>
      </c>
      <c r="J23" s="7"/>
      <c r="K23" s="7"/>
      <c r="M23" s="7"/>
      <c r="P23" s="7"/>
      <c r="Q23" s="7"/>
      <c r="R23" s="7"/>
      <c r="U23" s="7"/>
    </row>
    <row r="24" spans="6:25" x14ac:dyDescent="0.25">
      <c r="F24">
        <v>0</v>
      </c>
      <c r="J24" s="7"/>
      <c r="K24" s="7"/>
      <c r="L24" s="7"/>
      <c r="P24" s="7"/>
      <c r="Q24" s="7"/>
      <c r="S24" s="7"/>
      <c r="T24" s="7"/>
    </row>
    <row r="25" spans="6:25" x14ac:dyDescent="0.25">
      <c r="F25">
        <v>0</v>
      </c>
      <c r="J25" s="7"/>
      <c r="K25" s="7"/>
      <c r="O25" s="7"/>
      <c r="P25" s="7"/>
      <c r="Q25" s="7"/>
      <c r="W25" s="7"/>
      <c r="X25" s="7"/>
    </row>
    <row r="26" spans="6:25" x14ac:dyDescent="0.25">
      <c r="F26">
        <v>0</v>
      </c>
      <c r="J26" s="7"/>
      <c r="K26" s="7"/>
      <c r="N26" s="7"/>
      <c r="P26" s="7"/>
      <c r="Q26" s="7"/>
      <c r="V26" s="7"/>
      <c r="Y26" s="7"/>
    </row>
    <row r="27" spans="6:25" x14ac:dyDescent="0.25">
      <c r="F27">
        <v>0</v>
      </c>
      <c r="L27" s="7"/>
      <c r="M27" s="7"/>
      <c r="N27" s="7"/>
      <c r="O27" s="7"/>
      <c r="Q27" s="7"/>
      <c r="V27" s="7"/>
      <c r="Y27" s="7"/>
    </row>
    <row r="28" spans="6:25" x14ac:dyDescent="0.25">
      <c r="F28">
        <v>0</v>
      </c>
      <c r="L28" s="7"/>
      <c r="M28" s="7"/>
      <c r="N28" s="7"/>
      <c r="O28" s="7"/>
      <c r="P28" s="7"/>
      <c r="W28" s="7"/>
      <c r="X2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L22"/>
  <sheetViews>
    <sheetView workbookViewId="0">
      <selection activeCell="C20" sqref="C20:F22"/>
    </sheetView>
  </sheetViews>
  <sheetFormatPr defaultRowHeight="15" x14ac:dyDescent="0.25"/>
  <sheetData>
    <row r="2" spans="2:12" x14ac:dyDescent="0.25">
      <c r="B2" t="s">
        <v>45</v>
      </c>
    </row>
    <row r="3" spans="2:12" x14ac:dyDescent="0.25">
      <c r="C3" s="22" t="s">
        <v>4</v>
      </c>
      <c r="D3" s="19" t="s">
        <v>39</v>
      </c>
      <c r="E3" s="19" t="s">
        <v>40</v>
      </c>
      <c r="F3" s="19" t="s">
        <v>41</v>
      </c>
      <c r="G3" s="19" t="s">
        <v>1</v>
      </c>
      <c r="H3" s="19" t="s">
        <v>1</v>
      </c>
      <c r="I3" s="19" t="s">
        <v>1</v>
      </c>
      <c r="J3" s="19" t="s">
        <v>1</v>
      </c>
      <c r="K3" s="19" t="s">
        <v>1</v>
      </c>
      <c r="L3" s="21" t="s">
        <v>1</v>
      </c>
    </row>
    <row r="4" spans="2:12" x14ac:dyDescent="0.25">
      <c r="C4" s="17" t="s">
        <v>1</v>
      </c>
      <c r="D4" s="10"/>
      <c r="E4" s="8"/>
      <c r="F4" s="8"/>
      <c r="G4" s="8" t="s">
        <v>4</v>
      </c>
      <c r="H4" s="8" t="s">
        <v>42</v>
      </c>
      <c r="I4" s="8" t="s">
        <v>43</v>
      </c>
      <c r="J4" s="8" t="s">
        <v>1</v>
      </c>
      <c r="K4" s="8" t="s">
        <v>1</v>
      </c>
      <c r="L4" s="15" t="s">
        <v>1</v>
      </c>
    </row>
    <row r="5" spans="2:12" x14ac:dyDescent="0.25">
      <c r="C5" s="17" t="s">
        <v>1</v>
      </c>
      <c r="D5" s="8"/>
      <c r="E5" s="8"/>
      <c r="F5" s="8"/>
      <c r="G5" s="8" t="s">
        <v>1</v>
      </c>
      <c r="H5" s="8"/>
      <c r="I5" s="8"/>
      <c r="J5" s="8" t="s">
        <v>4</v>
      </c>
      <c r="K5" s="8" t="s">
        <v>44</v>
      </c>
      <c r="L5" s="15" t="s">
        <v>1</v>
      </c>
    </row>
    <row r="6" spans="2:12" x14ac:dyDescent="0.25">
      <c r="C6" s="18" t="s">
        <v>1</v>
      </c>
      <c r="D6" s="20"/>
      <c r="E6" s="20"/>
      <c r="F6" s="20"/>
      <c r="G6" s="20" t="s">
        <v>1</v>
      </c>
      <c r="H6" s="20"/>
      <c r="I6" s="20"/>
      <c r="J6" s="20" t="s">
        <v>1</v>
      </c>
      <c r="K6" s="20"/>
      <c r="L6" s="16" t="s">
        <v>4</v>
      </c>
    </row>
    <row r="9" spans="2:12" x14ac:dyDescent="0.25">
      <c r="B9" t="s">
        <v>46</v>
      </c>
    </row>
    <row r="10" spans="2:12" x14ac:dyDescent="0.25">
      <c r="C10" s="23" t="s">
        <v>1</v>
      </c>
      <c r="D10" s="19" t="s">
        <v>4</v>
      </c>
      <c r="E10" s="19"/>
      <c r="F10" s="19" t="s">
        <v>4</v>
      </c>
      <c r="G10" s="21" t="s">
        <v>27</v>
      </c>
    </row>
    <row r="11" spans="2:12" x14ac:dyDescent="0.25">
      <c r="C11" s="18" t="s">
        <v>0</v>
      </c>
      <c r="D11" s="20" t="s">
        <v>4</v>
      </c>
      <c r="E11" s="20"/>
      <c r="F11" s="20" t="s">
        <v>1</v>
      </c>
      <c r="G11" s="16"/>
    </row>
    <row r="14" spans="2:12" x14ac:dyDescent="0.25">
      <c r="B14" t="s">
        <v>53</v>
      </c>
    </row>
    <row r="15" spans="2:12" x14ac:dyDescent="0.25">
      <c r="C15" s="23" t="s">
        <v>1</v>
      </c>
      <c r="D15" s="25" t="s">
        <v>1</v>
      </c>
      <c r="E15" s="19" t="s">
        <v>1</v>
      </c>
      <c r="F15" s="19" t="s">
        <v>48</v>
      </c>
      <c r="G15" s="19" t="s">
        <v>1</v>
      </c>
      <c r="H15" s="19" t="s">
        <v>1</v>
      </c>
      <c r="I15" s="19" t="s">
        <v>1</v>
      </c>
      <c r="J15" s="19" t="s">
        <v>48</v>
      </c>
      <c r="K15" s="19" t="s">
        <v>1</v>
      </c>
      <c r="L15" s="21" t="s">
        <v>50</v>
      </c>
    </row>
    <row r="16" spans="2:12" x14ac:dyDescent="0.25">
      <c r="C16" s="17" t="s">
        <v>1</v>
      </c>
      <c r="D16" s="8" t="s">
        <v>47</v>
      </c>
      <c r="E16" s="8" t="s">
        <v>1</v>
      </c>
      <c r="F16" s="8"/>
      <c r="G16" s="8" t="s">
        <v>1</v>
      </c>
      <c r="H16" s="8" t="s">
        <v>47</v>
      </c>
      <c r="I16" s="8" t="s">
        <v>1</v>
      </c>
      <c r="J16" s="8"/>
      <c r="K16" s="8" t="s">
        <v>49</v>
      </c>
      <c r="L16" s="15"/>
    </row>
    <row r="17" spans="2:12" x14ac:dyDescent="0.25">
      <c r="C17" s="18" t="s">
        <v>4</v>
      </c>
      <c r="D17" s="20"/>
      <c r="E17" s="20" t="s">
        <v>49</v>
      </c>
      <c r="F17" s="20"/>
      <c r="G17" s="20" t="s">
        <v>5</v>
      </c>
      <c r="H17" s="20"/>
      <c r="I17" s="20" t="s">
        <v>49</v>
      </c>
      <c r="J17" s="20"/>
      <c r="K17" s="20" t="s">
        <v>5</v>
      </c>
      <c r="L17" s="16"/>
    </row>
    <row r="19" spans="2:12" x14ac:dyDescent="0.25">
      <c r="B19" t="s">
        <v>52</v>
      </c>
    </row>
    <row r="20" spans="2:12" x14ac:dyDescent="0.25">
      <c r="C20" s="23" t="s">
        <v>1</v>
      </c>
      <c r="D20" s="25" t="s">
        <v>1</v>
      </c>
      <c r="E20" s="19" t="s">
        <v>50</v>
      </c>
      <c r="F20" s="21" t="s">
        <v>5</v>
      </c>
    </row>
    <row r="21" spans="2:12" x14ac:dyDescent="0.25">
      <c r="C21" s="17" t="s">
        <v>1</v>
      </c>
      <c r="D21" s="8" t="s">
        <v>49</v>
      </c>
      <c r="E21" s="8"/>
      <c r="F21" s="15" t="s">
        <v>51</v>
      </c>
    </row>
    <row r="22" spans="2:12" x14ac:dyDescent="0.25">
      <c r="C22" s="18" t="s">
        <v>4</v>
      </c>
      <c r="D22" s="20" t="s">
        <v>1</v>
      </c>
      <c r="E22" s="20"/>
      <c r="F22" s="16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1:X5"/>
  <sheetViews>
    <sheetView zoomScale="50" zoomScaleNormal="50" workbookViewId="0">
      <selection activeCell="X1" sqref="X1"/>
    </sheetView>
  </sheetViews>
  <sheetFormatPr defaultColWidth="15.7109375" defaultRowHeight="69.95" customHeight="1" x14ac:dyDescent="0.25"/>
  <sheetData>
    <row r="1" spans="4:24" ht="69.95" customHeight="1" x14ac:dyDescent="0.25">
      <c r="D1" t="s">
        <v>6</v>
      </c>
      <c r="G1" t="s">
        <v>6</v>
      </c>
      <c r="L1" s="13" t="s">
        <v>6</v>
      </c>
      <c r="N1">
        <v>1</v>
      </c>
      <c r="Q1" t="s">
        <v>6</v>
      </c>
      <c r="V1" s="13" t="s">
        <v>6</v>
      </c>
      <c r="X1" s="12">
        <v>5</v>
      </c>
    </row>
    <row r="2" spans="4:24" ht="69.95" customHeight="1" x14ac:dyDescent="0.25">
      <c r="D2" s="10"/>
      <c r="E2" s="8"/>
      <c r="F2" s="8"/>
      <c r="G2" s="8"/>
      <c r="H2" s="8"/>
      <c r="I2" s="8"/>
      <c r="J2" s="8"/>
      <c r="K2" s="8"/>
      <c r="L2" s="8"/>
      <c r="M2" s="8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4:24" ht="69.95" customHeight="1" x14ac:dyDescent="0.25">
      <c r="D3" s="8"/>
      <c r="E3" s="10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4:24" ht="69.95" customHeight="1" x14ac:dyDescent="0.25">
      <c r="D4" s="23" t="s">
        <v>4</v>
      </c>
      <c r="E4" s="19" t="s">
        <v>0</v>
      </c>
      <c r="F4" s="19" t="s">
        <v>55</v>
      </c>
      <c r="G4" s="25" t="s">
        <v>0</v>
      </c>
      <c r="H4" s="21" t="s">
        <v>4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4:24" ht="69.95" customHeight="1" x14ac:dyDescent="0.25">
      <c r="D5" s="18" t="s">
        <v>4</v>
      </c>
      <c r="E5" s="20" t="s">
        <v>0</v>
      </c>
      <c r="F5" s="20"/>
      <c r="G5" s="20" t="s">
        <v>0</v>
      </c>
      <c r="H5" s="16" t="s">
        <v>4</v>
      </c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aunchCreateTensorString1">
                <anchor moveWithCells="1" sizeWithCells="1">
                  <from>
                    <xdr:col>28</xdr:col>
                    <xdr:colOff>457200</xdr:colOff>
                    <xdr:row>1</xdr:row>
                    <xdr:rowOff>219075</xdr:rowOff>
                  </from>
                  <to>
                    <xdr:col>29</xdr:col>
                    <xdr:colOff>1019175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aunchCreateTensorString2">
                <anchor moveWithCells="1" sizeWithCells="1">
                  <from>
                    <xdr:col>28</xdr:col>
                    <xdr:colOff>428625</xdr:colOff>
                    <xdr:row>2</xdr:row>
                    <xdr:rowOff>371475</xdr:rowOff>
                  </from>
                  <to>
                    <xdr:col>29</xdr:col>
                    <xdr:colOff>1009650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function">
                <anchor moveWithCells="1" sizeWithCells="1">
                  <from>
                    <xdr:col>28</xdr:col>
                    <xdr:colOff>466725</xdr:colOff>
                    <xdr:row>3</xdr:row>
                    <xdr:rowOff>571500</xdr:rowOff>
                  </from>
                  <to>
                    <xdr:col>29</xdr:col>
                    <xdr:colOff>1009650</xdr:colOff>
                    <xdr:row>4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heckfunction1">
                <anchor moveWithCells="1" sizeWithCells="1">
                  <from>
                    <xdr:col>28</xdr:col>
                    <xdr:colOff>476250</xdr:colOff>
                    <xdr:row>4</xdr:row>
                    <xdr:rowOff>781050</xdr:rowOff>
                  </from>
                  <to>
                    <xdr:col>29</xdr:col>
                    <xdr:colOff>1038225</xdr:colOff>
                    <xdr:row>5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heckfuntionIsTensorStrValid">
                <anchor moveWithCells="1" sizeWithCells="1">
                  <from>
                    <xdr:col>26</xdr:col>
                    <xdr:colOff>752475</xdr:colOff>
                    <xdr:row>1</xdr:row>
                    <xdr:rowOff>238125</xdr:rowOff>
                  </from>
                  <to>
                    <xdr:col>28</xdr:col>
                    <xdr:colOff>66675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CheckFuctionFindOrderOfGate">
                <anchor moveWithCells="1" sizeWithCells="1">
                  <from>
                    <xdr:col>26</xdr:col>
                    <xdr:colOff>733425</xdr:colOff>
                    <xdr:row>2</xdr:row>
                    <xdr:rowOff>314325</xdr:rowOff>
                  </from>
                  <to>
                    <xdr:col>28</xdr:col>
                    <xdr:colOff>47625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CheckFunctionbbTrim">
                <anchor moveWithCells="1" sizeWithCells="1">
                  <from>
                    <xdr:col>26</xdr:col>
                    <xdr:colOff>733425</xdr:colOff>
                    <xdr:row>3</xdr:row>
                    <xdr:rowOff>285750</xdr:rowOff>
                  </from>
                  <to>
                    <xdr:col>28</xdr:col>
                    <xdr:colOff>57150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CheckQuantumComputer">
                <anchor moveWithCells="1" sizeWithCells="1">
                  <from>
                    <xdr:col>2</xdr:col>
                    <xdr:colOff>1028700</xdr:colOff>
                    <xdr:row>5</xdr:row>
                    <xdr:rowOff>533400</xdr:rowOff>
                  </from>
                  <to>
                    <xdr:col>4</xdr:col>
                    <xdr:colOff>952500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LaunchGenerateGateLayer4Qubit">
                <anchor moveWithCells="1" sizeWithCells="1">
                  <from>
                    <xdr:col>0</xdr:col>
                    <xdr:colOff>581025</xdr:colOff>
                    <xdr:row>0</xdr:row>
                    <xdr:rowOff>190500</xdr:rowOff>
                  </from>
                  <to>
                    <xdr:col>1</xdr:col>
                    <xdr:colOff>695325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print="0" autoFill="0" autoPict="0" macro="[0]!LaunchGenerateGateLayer1Qubit">
                <anchor moveWithCells="1" sizeWithCells="1">
                  <from>
                    <xdr:col>1</xdr:col>
                    <xdr:colOff>323850</xdr:colOff>
                    <xdr:row>4</xdr:row>
                    <xdr:rowOff>171450</xdr:rowOff>
                  </from>
                  <to>
                    <xdr:col>2</xdr:col>
                    <xdr:colOff>723900</xdr:colOff>
                    <xdr:row>4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LaunchGenerateGateLayer2Qubit">
                <anchor moveWithCells="1" sizeWithCells="1">
                  <from>
                    <xdr:col>1</xdr:col>
                    <xdr:colOff>333375</xdr:colOff>
                    <xdr:row>3</xdr:row>
                    <xdr:rowOff>200025</xdr:rowOff>
                  </from>
                  <to>
                    <xdr:col>2</xdr:col>
                    <xdr:colOff>733425</xdr:colOff>
                    <xdr:row>3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4" name="Button 13">
              <controlPr defaultSize="0" print="0" autoFill="0" autoPict="0" macro="[0]!LaunchGenerateGateLayer3Qubit">
                <anchor moveWithCells="1" sizeWithCells="1">
                  <from>
                    <xdr:col>1</xdr:col>
                    <xdr:colOff>323850</xdr:colOff>
                    <xdr:row>2</xdr:row>
                    <xdr:rowOff>171450</xdr:rowOff>
                  </from>
                  <to>
                    <xdr:col>2</xdr:col>
                    <xdr:colOff>723900</xdr:colOff>
                    <xdr:row>2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" name="Button 14">
              <controlPr defaultSize="0" print="0" autoFill="0" autoPict="0" macro="[0]!LaunchGenerateGateLayer4Qubit">
                <anchor moveWithCells="1" sizeWithCells="1">
                  <from>
                    <xdr:col>1</xdr:col>
                    <xdr:colOff>333375</xdr:colOff>
                    <xdr:row>1</xdr:row>
                    <xdr:rowOff>219075</xdr:rowOff>
                  </from>
                  <to>
                    <xdr:col>2</xdr:col>
                    <xdr:colOff>733425</xdr:colOff>
                    <xdr:row>1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" name="Button 15">
              <controlPr defaultSize="0" print="0" autoFill="0" autoPict="0" macro="[0]!CheckRnd">
                <anchor moveWithCells="1" sizeWithCells="1">
                  <from>
                    <xdr:col>5</xdr:col>
                    <xdr:colOff>466725</xdr:colOff>
                    <xdr:row>5</xdr:row>
                    <xdr:rowOff>552450</xdr:rowOff>
                  </from>
                  <to>
                    <xdr:col>7</xdr:col>
                    <xdr:colOff>485775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7" name="Button 16">
              <controlPr defaultSize="0" print="0" autoFill="0" autoPict="0" macro="[0]!CheckNormalisation">
                <anchor moveWithCells="1" sizeWithCells="1">
                  <from>
                    <xdr:col>7</xdr:col>
                    <xdr:colOff>1047750</xdr:colOff>
                    <xdr:row>5</xdr:row>
                    <xdr:rowOff>533400</xdr:rowOff>
                  </from>
                  <to>
                    <xdr:col>10</xdr:col>
                    <xdr:colOff>228600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8" name="Button 17">
              <controlPr defaultSize="0" print="0" autoFill="0" autoPict="0" macro="[0]!Configure1Layer">
                <anchor moveWithCells="1" sizeWithCells="1">
                  <from>
                    <xdr:col>3</xdr:col>
                    <xdr:colOff>142875</xdr:colOff>
                    <xdr:row>0</xdr:row>
                    <xdr:rowOff>304800</xdr:rowOff>
                  </from>
                  <to>
                    <xdr:col>3</xdr:col>
                    <xdr:colOff>942975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9" name="Button 18">
              <controlPr defaultSize="0" print="0" autoFill="0" autoPict="0" macro="[0]!Configure2Layers">
                <anchor moveWithCells="1" sizeWithCells="1">
                  <from>
                    <xdr:col>4</xdr:col>
                    <xdr:colOff>161925</xdr:colOff>
                    <xdr:row>0</xdr:row>
                    <xdr:rowOff>295275</xdr:rowOff>
                  </from>
                  <to>
                    <xdr:col>4</xdr:col>
                    <xdr:colOff>962025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0" name="Button 20">
              <controlPr defaultSize="0" print="0" autoFill="0" autoPict="0" macro="[0]!Configure3Layers">
                <anchor moveWithCells="1" sizeWithCells="1">
                  <from>
                    <xdr:col>5</xdr:col>
                    <xdr:colOff>114300</xdr:colOff>
                    <xdr:row>0</xdr:row>
                    <xdr:rowOff>295275</xdr:rowOff>
                  </from>
                  <to>
                    <xdr:col>5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Configure4Layers">
                <anchor moveWithCells="1" sizeWithCells="1">
                  <from>
                    <xdr:col>6</xdr:col>
                    <xdr:colOff>114300</xdr:colOff>
                    <xdr:row>0</xdr:row>
                    <xdr:rowOff>295275</xdr:rowOff>
                  </from>
                  <to>
                    <xdr:col>6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2" name="Button 24">
              <controlPr defaultSize="0" print="0" autoFill="0" autoPict="0" macro="[0]!Configure5Layers">
                <anchor moveWithCells="1" sizeWithCells="1">
                  <from>
                    <xdr:col>7</xdr:col>
                    <xdr:colOff>114300</xdr:colOff>
                    <xdr:row>0</xdr:row>
                    <xdr:rowOff>295275</xdr:rowOff>
                  </from>
                  <to>
                    <xdr:col>7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3" name="Button 25">
              <controlPr defaultSize="0" print="0" autoFill="0" autoPict="0" macro="[0]!Configure6Layers">
                <anchor moveWithCells="1" sizeWithCells="1">
                  <from>
                    <xdr:col>8</xdr:col>
                    <xdr:colOff>114300</xdr:colOff>
                    <xdr:row>0</xdr:row>
                    <xdr:rowOff>295275</xdr:rowOff>
                  </from>
                  <to>
                    <xdr:col>8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4" name="Button 27">
              <controlPr defaultSize="0" print="0" autoFill="0" autoPict="0" macro="[0]!Configure7Layers">
                <anchor moveWithCells="1" sizeWithCells="1">
                  <from>
                    <xdr:col>9</xdr:col>
                    <xdr:colOff>114300</xdr:colOff>
                    <xdr:row>0</xdr:row>
                    <xdr:rowOff>295275</xdr:rowOff>
                  </from>
                  <to>
                    <xdr:col>9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Configure8Layers">
                <anchor moveWithCells="1" sizeWithCells="1">
                  <from>
                    <xdr:col>10</xdr:col>
                    <xdr:colOff>114300</xdr:colOff>
                    <xdr:row>0</xdr:row>
                    <xdr:rowOff>295275</xdr:rowOff>
                  </from>
                  <to>
                    <xdr:col>10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Configure9Layers">
                <anchor moveWithCells="1" sizeWithCells="1">
                  <from>
                    <xdr:col>11</xdr:col>
                    <xdr:colOff>114300</xdr:colOff>
                    <xdr:row>0</xdr:row>
                    <xdr:rowOff>295275</xdr:rowOff>
                  </from>
                  <to>
                    <xdr:col>11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7" name="Button 33">
              <controlPr defaultSize="0" print="0" autoFill="0" autoPict="0" macro="[0]!Configure10Layers">
                <anchor moveWithCells="1" sizeWithCells="1">
                  <from>
                    <xdr:col>12</xdr:col>
                    <xdr:colOff>114300</xdr:colOff>
                    <xdr:row>0</xdr:row>
                    <xdr:rowOff>295275</xdr:rowOff>
                  </from>
                  <to>
                    <xdr:col>12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8" name="Button 34">
              <controlPr defaultSize="0" print="0" autoFill="0" autoPict="0" macro="[0]!Mod2PossibleStatesVector">
                <anchor moveWithCells="1" sizeWithCells="1">
                  <from>
                    <xdr:col>10</xdr:col>
                    <xdr:colOff>657225</xdr:colOff>
                    <xdr:row>5</xdr:row>
                    <xdr:rowOff>504825</xdr:rowOff>
                  </from>
                  <to>
                    <xdr:col>12</xdr:col>
                    <xdr:colOff>742950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9" name="Button 45">
              <controlPr defaultSize="0" print="0" autoFill="0" autoPict="0" macro="[0]!Configure11Layers">
                <anchor moveWithCells="1" sizeWithCells="1">
                  <from>
                    <xdr:col>13</xdr:col>
                    <xdr:colOff>142875</xdr:colOff>
                    <xdr:row>0</xdr:row>
                    <xdr:rowOff>304800</xdr:rowOff>
                  </from>
                  <to>
                    <xdr:col>13</xdr:col>
                    <xdr:colOff>942975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0" name="Button 46">
              <controlPr defaultSize="0" print="0" autoFill="0" autoPict="0" macro="[0]!Configure12Layers">
                <anchor moveWithCells="1" sizeWithCells="1">
                  <from>
                    <xdr:col>14</xdr:col>
                    <xdr:colOff>161925</xdr:colOff>
                    <xdr:row>0</xdr:row>
                    <xdr:rowOff>295275</xdr:rowOff>
                  </from>
                  <to>
                    <xdr:col>14</xdr:col>
                    <xdr:colOff>962025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1" name="Button 47">
              <controlPr defaultSize="0" print="0" autoFill="0" autoPict="0" macro="[0]!Configure13Layers">
                <anchor moveWithCells="1" sizeWithCells="1">
                  <from>
                    <xdr:col>15</xdr:col>
                    <xdr:colOff>114300</xdr:colOff>
                    <xdr:row>0</xdr:row>
                    <xdr:rowOff>295275</xdr:rowOff>
                  </from>
                  <to>
                    <xdr:col>15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32" name="Button 48">
              <controlPr defaultSize="0" print="0" autoFill="0" autoPict="0" macro="[0]!Configure14Layers">
                <anchor moveWithCells="1" sizeWithCells="1">
                  <from>
                    <xdr:col>16</xdr:col>
                    <xdr:colOff>114300</xdr:colOff>
                    <xdr:row>0</xdr:row>
                    <xdr:rowOff>295275</xdr:rowOff>
                  </from>
                  <to>
                    <xdr:col>16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33" name="Button 49">
              <controlPr defaultSize="0" print="0" autoFill="0" autoPict="0" macro="[0]!Configure15Layers">
                <anchor moveWithCells="1" sizeWithCells="1">
                  <from>
                    <xdr:col>17</xdr:col>
                    <xdr:colOff>114300</xdr:colOff>
                    <xdr:row>0</xdr:row>
                    <xdr:rowOff>295275</xdr:rowOff>
                  </from>
                  <to>
                    <xdr:col>17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34" name="Button 50">
              <controlPr defaultSize="0" print="0" autoFill="0" autoPict="0" macro="[0]!Configure16Layers">
                <anchor moveWithCells="1" sizeWithCells="1">
                  <from>
                    <xdr:col>18</xdr:col>
                    <xdr:colOff>114300</xdr:colOff>
                    <xdr:row>0</xdr:row>
                    <xdr:rowOff>295275</xdr:rowOff>
                  </from>
                  <to>
                    <xdr:col>18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35" name="Button 51">
              <controlPr defaultSize="0" print="0" autoFill="0" autoPict="0" macro="[0]!Configure17Layers">
                <anchor moveWithCells="1" sizeWithCells="1">
                  <from>
                    <xdr:col>19</xdr:col>
                    <xdr:colOff>114300</xdr:colOff>
                    <xdr:row>0</xdr:row>
                    <xdr:rowOff>295275</xdr:rowOff>
                  </from>
                  <to>
                    <xdr:col>19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36" name="Button 52">
              <controlPr defaultSize="0" print="0" autoFill="0" autoPict="0" macro="[0]!Configure18Layers">
                <anchor moveWithCells="1" sizeWithCells="1">
                  <from>
                    <xdr:col>20</xdr:col>
                    <xdr:colOff>114300</xdr:colOff>
                    <xdr:row>0</xdr:row>
                    <xdr:rowOff>295275</xdr:rowOff>
                  </from>
                  <to>
                    <xdr:col>20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37" name="Button 53">
              <controlPr defaultSize="0" print="0" autoFill="0" autoPict="0" macro="[0]!Configure19Layers">
                <anchor moveWithCells="1" sizeWithCells="1">
                  <from>
                    <xdr:col>21</xdr:col>
                    <xdr:colOff>114300</xdr:colOff>
                    <xdr:row>0</xdr:row>
                    <xdr:rowOff>295275</xdr:rowOff>
                  </from>
                  <to>
                    <xdr:col>21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38" name="Button 54">
              <controlPr defaultSize="0" print="0" autoFill="0" autoPict="0" macro="[0]!Configure20Layers">
                <anchor moveWithCells="1" sizeWithCells="1">
                  <from>
                    <xdr:col>22</xdr:col>
                    <xdr:colOff>114300</xdr:colOff>
                    <xdr:row>0</xdr:row>
                    <xdr:rowOff>295275</xdr:rowOff>
                  </from>
                  <to>
                    <xdr:col>22</xdr:col>
                    <xdr:colOff>914400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K110"/>
  <sheetViews>
    <sheetView zoomScale="25" zoomScaleNormal="25" workbookViewId="0">
      <selection activeCell="F9" sqref="F9"/>
    </sheetView>
  </sheetViews>
  <sheetFormatPr defaultColWidth="5.7109375" defaultRowHeight="24.95" customHeight="1" x14ac:dyDescent="0.25"/>
  <cols>
    <col min="1" max="16384" width="5.7109375" style="2"/>
  </cols>
  <sheetData>
    <row r="2" spans="2:63" ht="24.95" customHeight="1" x14ac:dyDescent="0.25">
      <c r="C2" s="2" t="s">
        <v>11</v>
      </c>
      <c r="M2" s="2" t="s">
        <v>14</v>
      </c>
      <c r="AA2" s="2" t="s">
        <v>19</v>
      </c>
    </row>
    <row r="4" spans="2:63" ht="24.95" customHeight="1" x14ac:dyDescent="0.25">
      <c r="C4" s="2" t="s">
        <v>12</v>
      </c>
      <c r="M4" s="2" t="s">
        <v>15</v>
      </c>
      <c r="AA4" s="2" t="s">
        <v>20</v>
      </c>
    </row>
    <row r="5" spans="2:63" ht="24.95" customHeight="1" x14ac:dyDescent="0.25">
      <c r="F5" s="2">
        <v>1</v>
      </c>
      <c r="G5" s="2">
        <v>0</v>
      </c>
      <c r="H5" s="2">
        <v>0</v>
      </c>
      <c r="I5" s="2">
        <v>0</v>
      </c>
      <c r="P5" s="2">
        <v>1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AD5" s="2">
        <v>1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 t="s">
        <v>6</v>
      </c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2:63" ht="24.95" customHeight="1" x14ac:dyDescent="0.25">
      <c r="B6" s="6"/>
      <c r="F6" s="2">
        <v>0</v>
      </c>
      <c r="G6" s="2">
        <v>0</v>
      </c>
      <c r="H6" s="2">
        <v>0</v>
      </c>
      <c r="I6" s="2">
        <v>1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0</v>
      </c>
      <c r="W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1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2:63" ht="24.95" customHeight="1" x14ac:dyDescent="0.25">
      <c r="F7" s="2">
        <v>0</v>
      </c>
      <c r="G7" s="2">
        <v>0</v>
      </c>
      <c r="H7" s="2">
        <v>1</v>
      </c>
      <c r="I7" s="2">
        <v>0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AD7" s="2">
        <v>0</v>
      </c>
      <c r="AE7" s="2">
        <v>0</v>
      </c>
      <c r="AF7" s="2">
        <v>1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2:63" ht="24.95" customHeight="1" x14ac:dyDescent="0.25">
      <c r="F8" s="2">
        <v>0</v>
      </c>
      <c r="G8" s="2">
        <v>1</v>
      </c>
      <c r="H8" s="2">
        <v>0</v>
      </c>
      <c r="I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1</v>
      </c>
      <c r="AP8" s="2">
        <v>0</v>
      </c>
      <c r="AQ8" s="2">
        <v>0</v>
      </c>
      <c r="AR8" s="2">
        <v>0</v>
      </c>
      <c r="AS8" s="2">
        <v>0</v>
      </c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2:63" ht="24.95" customHeight="1" x14ac:dyDescent="0.25">
      <c r="P9" s="2">
        <v>0</v>
      </c>
      <c r="Q9" s="2">
        <v>0</v>
      </c>
      <c r="R9" s="2">
        <v>0</v>
      </c>
      <c r="S9" s="2">
        <v>0</v>
      </c>
      <c r="T9" s="2">
        <v>1</v>
      </c>
      <c r="U9" s="2">
        <v>0</v>
      </c>
      <c r="V9" s="2">
        <v>0</v>
      </c>
      <c r="W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1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2:63" ht="24.95" customHeight="1" x14ac:dyDescent="0.25">
      <c r="C10" s="2" t="s">
        <v>13</v>
      </c>
      <c r="P10" s="2">
        <v>0</v>
      </c>
      <c r="Q10" s="2">
        <v>1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1</v>
      </c>
      <c r="AR10" s="2">
        <v>0</v>
      </c>
      <c r="AS10" s="2">
        <v>0</v>
      </c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2:63" ht="24.95" customHeight="1" x14ac:dyDescent="0.25">
      <c r="F11" s="2">
        <v>1</v>
      </c>
      <c r="G11" s="2">
        <v>0</v>
      </c>
      <c r="H11" s="2">
        <v>0</v>
      </c>
      <c r="I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1</v>
      </c>
      <c r="W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1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2:63" ht="24.95" customHeight="1" x14ac:dyDescent="0.25">
      <c r="F12" s="2">
        <v>0</v>
      </c>
      <c r="G12" s="2">
        <v>1</v>
      </c>
      <c r="H12" s="2">
        <v>0</v>
      </c>
      <c r="I12" s="2">
        <v>0</v>
      </c>
      <c r="P12" s="2">
        <v>0</v>
      </c>
      <c r="Q12" s="2">
        <v>0</v>
      </c>
      <c r="R12" s="2">
        <v>0</v>
      </c>
      <c r="S12" s="2">
        <v>1</v>
      </c>
      <c r="T12" s="2">
        <v>0</v>
      </c>
      <c r="U12" s="2">
        <v>0</v>
      </c>
      <c r="V12" s="2">
        <v>0</v>
      </c>
      <c r="W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1</v>
      </c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2:63" ht="24.95" customHeight="1" x14ac:dyDescent="0.25">
      <c r="F13" s="2">
        <v>0</v>
      </c>
      <c r="G13" s="2">
        <v>0</v>
      </c>
      <c r="H13" s="2">
        <v>0</v>
      </c>
      <c r="I13" s="2">
        <v>1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1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2:63" ht="24.95" customHeight="1" x14ac:dyDescent="0.25">
      <c r="F14" s="2">
        <v>0</v>
      </c>
      <c r="G14" s="2">
        <v>0</v>
      </c>
      <c r="H14" s="2">
        <v>1</v>
      </c>
      <c r="I14" s="2">
        <v>0</v>
      </c>
      <c r="M14" s="2" t="s">
        <v>16</v>
      </c>
      <c r="AD14" s="2">
        <v>0</v>
      </c>
      <c r="AE14" s="2">
        <v>1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2:63" ht="24.95" customHeight="1" x14ac:dyDescent="0.25">
      <c r="P15" s="2">
        <v>1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1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2:63" ht="24.95" customHeight="1" x14ac:dyDescent="0.25">
      <c r="P16" s="2">
        <v>0</v>
      </c>
      <c r="Q16" s="2">
        <v>1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AD16" s="2">
        <v>0</v>
      </c>
      <c r="AE16" s="2">
        <v>0</v>
      </c>
      <c r="AF16" s="2">
        <v>0</v>
      </c>
      <c r="AG16" s="2">
        <v>1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3:63" ht="24.95" customHeight="1" x14ac:dyDescent="0.25"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1</v>
      </c>
      <c r="W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1</v>
      </c>
      <c r="AQ17" s="2">
        <v>0</v>
      </c>
      <c r="AR17" s="2">
        <v>0</v>
      </c>
      <c r="AS17" s="2">
        <v>0</v>
      </c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3:63" ht="24.95" customHeight="1" x14ac:dyDescent="0.25"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1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3:63" ht="24.95" customHeight="1" x14ac:dyDescent="0.25">
      <c r="P19" s="2">
        <v>0</v>
      </c>
      <c r="Q19" s="2">
        <v>0</v>
      </c>
      <c r="R19" s="2">
        <v>0</v>
      </c>
      <c r="S19" s="2">
        <v>0</v>
      </c>
      <c r="T19" s="2">
        <v>1</v>
      </c>
      <c r="U19" s="2">
        <v>0</v>
      </c>
      <c r="V19" s="2">
        <v>0</v>
      </c>
      <c r="W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1</v>
      </c>
      <c r="AS19" s="2">
        <v>0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3:63" ht="24.95" customHeight="1" x14ac:dyDescent="0.25"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0</v>
      </c>
      <c r="W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1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3:63" ht="24.95" customHeight="1" x14ac:dyDescent="0.25"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3:63" ht="24.95" customHeight="1" x14ac:dyDescent="0.25">
      <c r="P22" s="2">
        <v>0</v>
      </c>
      <c r="Q22" s="2">
        <v>0</v>
      </c>
      <c r="R22" s="2">
        <v>0</v>
      </c>
      <c r="S22" s="2">
        <v>1</v>
      </c>
      <c r="T22" s="2">
        <v>0</v>
      </c>
      <c r="U22" s="2">
        <v>0</v>
      </c>
      <c r="V22" s="2">
        <v>0</v>
      </c>
      <c r="W22" s="2">
        <v>0</v>
      </c>
      <c r="AA22" s="2" t="s">
        <v>21</v>
      </c>
    </row>
    <row r="23" spans="13:63" ht="24.95" customHeight="1" x14ac:dyDescent="0.25">
      <c r="AD23" s="2">
        <v>1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</row>
    <row r="24" spans="13:63" ht="24.95" customHeight="1" x14ac:dyDescent="0.25">
      <c r="M24" s="2" t="s">
        <v>17</v>
      </c>
      <c r="AD24" s="2">
        <v>0</v>
      </c>
      <c r="AE24" s="2">
        <v>1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</row>
    <row r="25" spans="13:63" ht="24.95" customHeight="1" x14ac:dyDescent="0.25">
      <c r="P25" s="2">
        <v>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1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</row>
    <row r="26" spans="13:63" ht="24.95" customHeight="1" x14ac:dyDescent="0.25">
      <c r="P26" s="2">
        <v>0</v>
      </c>
      <c r="Q26" s="2">
        <v>1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1</v>
      </c>
      <c r="AP26" s="2">
        <v>0</v>
      </c>
      <c r="AQ26" s="2">
        <v>0</v>
      </c>
      <c r="AR26" s="2">
        <v>0</v>
      </c>
      <c r="AS26" s="2">
        <v>0</v>
      </c>
    </row>
    <row r="27" spans="13:63" ht="24.95" customHeight="1" x14ac:dyDescent="0.25"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1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</row>
    <row r="28" spans="13:63" ht="24.95" customHeight="1" x14ac:dyDescent="0.25">
      <c r="P28" s="2">
        <v>0</v>
      </c>
      <c r="Q28" s="2">
        <v>0</v>
      </c>
      <c r="R28" s="2">
        <v>0</v>
      </c>
      <c r="S28" s="2">
        <v>1</v>
      </c>
      <c r="T28" s="2">
        <v>0</v>
      </c>
      <c r="U28" s="2">
        <v>0</v>
      </c>
      <c r="V28" s="2">
        <v>0</v>
      </c>
      <c r="W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1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</row>
    <row r="29" spans="13:63" ht="24.95" customHeight="1" x14ac:dyDescent="0.25"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</v>
      </c>
      <c r="V29" s="2">
        <v>0</v>
      </c>
      <c r="W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1</v>
      </c>
      <c r="AS29" s="2">
        <v>0</v>
      </c>
    </row>
    <row r="30" spans="13:63" ht="24.95" customHeight="1" x14ac:dyDescent="0.25">
      <c r="P30" s="2">
        <v>0</v>
      </c>
      <c r="Q30" s="2">
        <v>0</v>
      </c>
      <c r="R30" s="2">
        <v>0</v>
      </c>
      <c r="S30" s="2">
        <v>0</v>
      </c>
      <c r="T30" s="2">
        <v>1</v>
      </c>
      <c r="U30" s="2">
        <v>0</v>
      </c>
      <c r="V30" s="2">
        <v>0</v>
      </c>
      <c r="W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1</v>
      </c>
    </row>
    <row r="31" spans="13:63" ht="24.95" customHeight="1" x14ac:dyDescent="0.25"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1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1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</row>
    <row r="32" spans="13:63" ht="24.95" customHeight="1" x14ac:dyDescent="0.25"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1</v>
      </c>
      <c r="W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</row>
    <row r="33" spans="13:45" ht="24.95" customHeight="1" x14ac:dyDescent="0.25">
      <c r="AD33" s="2">
        <v>0</v>
      </c>
      <c r="AE33" s="2">
        <v>0</v>
      </c>
      <c r="AF33" s="2">
        <v>1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</row>
    <row r="34" spans="13:45" ht="24.95" customHeight="1" x14ac:dyDescent="0.25">
      <c r="M34" s="2" t="s">
        <v>18</v>
      </c>
      <c r="AD34" s="2">
        <v>0</v>
      </c>
      <c r="AE34" s="2">
        <v>0</v>
      </c>
      <c r="AF34" s="2">
        <v>0</v>
      </c>
      <c r="AG34" s="2">
        <v>1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</row>
    <row r="35" spans="13:45" ht="24.95" customHeight="1" x14ac:dyDescent="0.25">
      <c r="P35" s="2">
        <v>1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1</v>
      </c>
      <c r="AQ35" s="2">
        <v>0</v>
      </c>
      <c r="AR35" s="2">
        <v>0</v>
      </c>
      <c r="AS35" s="2">
        <v>0</v>
      </c>
    </row>
    <row r="36" spans="13:45" ht="24.95" customHeight="1" x14ac:dyDescent="0.25">
      <c r="P36" s="2">
        <v>0</v>
      </c>
      <c r="Q36" s="2">
        <v>1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AC36" s="2" t="s">
        <v>6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1</v>
      </c>
      <c r="AR36" s="2">
        <v>0</v>
      </c>
      <c r="AS36" s="2">
        <v>0</v>
      </c>
    </row>
    <row r="37" spans="13:45" ht="24.95" customHeight="1" x14ac:dyDescent="0.25"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1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</row>
    <row r="38" spans="13:45" ht="24.95" customHeight="1" x14ac:dyDescent="0.25">
      <c r="P38" s="2">
        <v>0</v>
      </c>
      <c r="Q38" s="2">
        <v>0</v>
      </c>
      <c r="R38" s="2">
        <v>0</v>
      </c>
      <c r="S38" s="2">
        <v>1</v>
      </c>
      <c r="T38" s="2">
        <v>0</v>
      </c>
      <c r="U38" s="2">
        <v>0</v>
      </c>
      <c r="V38" s="2">
        <v>0</v>
      </c>
      <c r="W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1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</row>
    <row r="39" spans="13:45" ht="24.95" customHeight="1" x14ac:dyDescent="0.25"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1</v>
      </c>
      <c r="W39" s="2">
        <v>0</v>
      </c>
    </row>
    <row r="40" spans="13:45" ht="24.95" customHeight="1" x14ac:dyDescent="0.25"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</v>
      </c>
      <c r="AA40" s="2" t="s">
        <v>22</v>
      </c>
    </row>
    <row r="41" spans="13:45" ht="24.95" customHeight="1" x14ac:dyDescent="0.25">
      <c r="P41" s="2">
        <v>0</v>
      </c>
      <c r="Q41" s="2">
        <v>0</v>
      </c>
      <c r="R41" s="2">
        <v>0</v>
      </c>
      <c r="S41" s="2">
        <v>0</v>
      </c>
      <c r="T41" s="2">
        <v>1</v>
      </c>
      <c r="U41" s="2">
        <v>0</v>
      </c>
      <c r="V41" s="2">
        <v>0</v>
      </c>
      <c r="W41" s="2">
        <v>0</v>
      </c>
      <c r="AD41" s="2">
        <v>1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</row>
    <row r="42" spans="13:45" ht="24.95" customHeight="1" x14ac:dyDescent="0.25"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</v>
      </c>
      <c r="V42" s="2">
        <v>0</v>
      </c>
      <c r="W42" s="2">
        <v>0</v>
      </c>
      <c r="AD42" s="2">
        <v>0</v>
      </c>
      <c r="AE42" s="2">
        <v>1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</row>
    <row r="43" spans="13:45" ht="24.95" customHeight="1" x14ac:dyDescent="0.25">
      <c r="AD43" s="2">
        <v>0</v>
      </c>
      <c r="AE43" s="2">
        <v>0</v>
      </c>
      <c r="AF43" s="2">
        <v>1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</row>
    <row r="44" spans="13:45" ht="24.95" customHeight="1" x14ac:dyDescent="0.25">
      <c r="AD44" s="2">
        <v>0</v>
      </c>
      <c r="AE44" s="2">
        <v>0</v>
      </c>
      <c r="AF44" s="2">
        <v>0</v>
      </c>
      <c r="AG44" s="2">
        <v>1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</row>
    <row r="45" spans="13:45" ht="24.95" customHeight="1" x14ac:dyDescent="0.25"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1</v>
      </c>
      <c r="AQ45" s="2">
        <v>0</v>
      </c>
      <c r="AR45" s="2">
        <v>0</v>
      </c>
      <c r="AS45" s="2">
        <v>0</v>
      </c>
    </row>
    <row r="46" spans="13:45" ht="24.95" customHeight="1" x14ac:dyDescent="0.25"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1</v>
      </c>
      <c r="AR46" s="2">
        <v>0</v>
      </c>
      <c r="AS46" s="2">
        <v>0</v>
      </c>
    </row>
    <row r="47" spans="13:45" ht="24.95" customHeight="1" x14ac:dyDescent="0.25"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1</v>
      </c>
      <c r="AS47" s="2">
        <v>0</v>
      </c>
    </row>
    <row r="48" spans="13:45" ht="24.95" customHeight="1" x14ac:dyDescent="0.25"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1</v>
      </c>
    </row>
    <row r="49" spans="27:45" ht="24.95" customHeight="1" x14ac:dyDescent="0.25"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1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</row>
    <row r="50" spans="27:45" ht="24.95" customHeight="1" x14ac:dyDescent="0.25"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1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</row>
    <row r="51" spans="27:45" ht="24.95" customHeight="1" x14ac:dyDescent="0.25"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1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</row>
    <row r="52" spans="27:45" ht="24.95" customHeight="1" x14ac:dyDescent="0.25"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1</v>
      </c>
      <c r="AP52" s="2">
        <v>0</v>
      </c>
      <c r="AQ52" s="2">
        <v>0</v>
      </c>
      <c r="AR52" s="2">
        <v>0</v>
      </c>
      <c r="AS52" s="2">
        <v>0</v>
      </c>
    </row>
    <row r="53" spans="27:45" ht="24.95" customHeight="1" x14ac:dyDescent="0.25">
      <c r="AD53" s="2">
        <v>0</v>
      </c>
      <c r="AE53" s="2">
        <v>0</v>
      </c>
      <c r="AF53" s="2">
        <v>0</v>
      </c>
      <c r="AG53" s="2">
        <v>0</v>
      </c>
      <c r="AH53" s="2">
        <v>1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</row>
    <row r="54" spans="27:45" ht="24.95" customHeight="1" x14ac:dyDescent="0.25"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1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</row>
    <row r="55" spans="27:45" ht="24.95" customHeight="1" x14ac:dyDescent="0.25"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1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</row>
    <row r="56" spans="27:45" ht="24.95" customHeight="1" x14ac:dyDescent="0.25"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1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</row>
    <row r="58" spans="27:45" ht="24.95" customHeight="1" x14ac:dyDescent="0.25">
      <c r="AA58" s="2" t="s">
        <v>23</v>
      </c>
    </row>
    <row r="59" spans="27:45" ht="24.95" customHeight="1" x14ac:dyDescent="0.25">
      <c r="AD59" s="9">
        <v>1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>
        <v>0</v>
      </c>
      <c r="AK59" s="9">
        <v>0</v>
      </c>
      <c r="AL59" s="9">
        <v>0</v>
      </c>
      <c r="AM59" s="9">
        <v>0</v>
      </c>
      <c r="AN59" s="9">
        <v>0</v>
      </c>
      <c r="AO59" s="9">
        <v>0</v>
      </c>
      <c r="AP59" s="9">
        <v>0</v>
      </c>
      <c r="AQ59" s="9">
        <v>0</v>
      </c>
      <c r="AR59" s="9">
        <v>0</v>
      </c>
      <c r="AS59" s="9">
        <v>0</v>
      </c>
    </row>
    <row r="60" spans="27:45" ht="24.95" customHeight="1" x14ac:dyDescent="0.25">
      <c r="AD60" s="9">
        <v>0</v>
      </c>
      <c r="AE60" s="9">
        <v>1</v>
      </c>
      <c r="AF60" s="9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</row>
    <row r="61" spans="27:45" ht="24.95" customHeight="1" x14ac:dyDescent="0.25">
      <c r="AD61" s="6">
        <v>0</v>
      </c>
      <c r="AE61" s="6">
        <v>0</v>
      </c>
      <c r="AF61" s="6">
        <v>1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</row>
    <row r="62" spans="27:45" ht="24.95" customHeight="1" x14ac:dyDescent="0.25">
      <c r="AD62" s="6">
        <v>0</v>
      </c>
      <c r="AE62" s="6">
        <v>0</v>
      </c>
      <c r="AF62" s="6">
        <v>0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</row>
    <row r="63" spans="27:45" ht="24.95" customHeight="1" x14ac:dyDescent="0.25">
      <c r="AD63" s="6">
        <v>0</v>
      </c>
      <c r="AE63" s="6">
        <v>0</v>
      </c>
      <c r="AF63" s="6">
        <v>0</v>
      </c>
      <c r="AG63" s="6">
        <v>0</v>
      </c>
      <c r="AH63" s="6">
        <v>1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</row>
    <row r="64" spans="27:45" ht="24.95" customHeight="1" x14ac:dyDescent="0.25"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1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</row>
    <row r="65" spans="27:45" ht="24.95" customHeight="1" x14ac:dyDescent="0.25"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1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</row>
    <row r="66" spans="27:45" ht="24.95" customHeight="1" x14ac:dyDescent="0.25"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1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</row>
    <row r="67" spans="27:45" ht="24.95" customHeight="1" x14ac:dyDescent="0.25"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1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</row>
    <row r="68" spans="27:45" ht="24.95" customHeight="1" x14ac:dyDescent="0.25"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1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</row>
    <row r="69" spans="27:45" ht="24.95" customHeight="1" x14ac:dyDescent="0.25"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1</v>
      </c>
      <c r="AP69" s="6">
        <v>0</v>
      </c>
      <c r="AQ69" s="6">
        <v>0</v>
      </c>
      <c r="AR69" s="6">
        <v>0</v>
      </c>
      <c r="AS69" s="6">
        <v>0</v>
      </c>
    </row>
    <row r="70" spans="27:45" ht="24.95" customHeight="1" x14ac:dyDescent="0.25"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1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</row>
    <row r="71" spans="27:45" ht="24.95" customHeight="1" x14ac:dyDescent="0.25"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1</v>
      </c>
      <c r="AR71" s="6">
        <v>0</v>
      </c>
      <c r="AS71" s="6">
        <v>0</v>
      </c>
    </row>
    <row r="72" spans="27:45" ht="24.95" customHeight="1" x14ac:dyDescent="0.25"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1</v>
      </c>
      <c r="AQ72" s="6">
        <v>0</v>
      </c>
      <c r="AR72" s="6">
        <v>0</v>
      </c>
      <c r="AS72" s="6">
        <v>0</v>
      </c>
    </row>
    <row r="73" spans="27:45" ht="24.95" customHeight="1" x14ac:dyDescent="0.25"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1</v>
      </c>
    </row>
    <row r="74" spans="27:45" ht="24.95" customHeight="1" x14ac:dyDescent="0.25"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1</v>
      </c>
      <c r="AS74" s="6">
        <v>0</v>
      </c>
    </row>
    <row r="75" spans="27:45" ht="24.95" customHeight="1" x14ac:dyDescent="0.25">
      <c r="AP75" s="2" t="s">
        <v>6</v>
      </c>
    </row>
    <row r="76" spans="27:45" ht="24.95" customHeight="1" x14ac:dyDescent="0.25">
      <c r="AA76" s="2" t="s">
        <v>24</v>
      </c>
    </row>
    <row r="77" spans="27:45" ht="24.95" customHeight="1" x14ac:dyDescent="0.25">
      <c r="AD77" s="2">
        <v>1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</row>
    <row r="78" spans="27:45" ht="24.95" customHeight="1" x14ac:dyDescent="0.25">
      <c r="AD78" s="2">
        <v>0</v>
      </c>
      <c r="AE78" s="2">
        <v>1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</row>
    <row r="79" spans="27:45" ht="24.95" customHeight="1" x14ac:dyDescent="0.25">
      <c r="AD79" s="2">
        <v>0</v>
      </c>
      <c r="AE79" s="2">
        <v>0</v>
      </c>
      <c r="AF79" s="2">
        <v>1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</row>
    <row r="80" spans="27:45" ht="24.95" customHeight="1" x14ac:dyDescent="0.25">
      <c r="AD80" s="2">
        <v>0</v>
      </c>
      <c r="AE80" s="2">
        <v>0</v>
      </c>
      <c r="AF80" s="2">
        <v>0</v>
      </c>
      <c r="AG80" s="2">
        <v>1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</row>
    <row r="81" spans="27:45" ht="24.95" customHeight="1" x14ac:dyDescent="0.25">
      <c r="AD81" s="2">
        <v>0</v>
      </c>
      <c r="AE81" s="2">
        <v>0</v>
      </c>
      <c r="AF81" s="2">
        <v>0</v>
      </c>
      <c r="AG81" s="2">
        <v>0</v>
      </c>
      <c r="AH81" s="2">
        <v>1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</row>
    <row r="82" spans="27:45" ht="24.95" customHeight="1" x14ac:dyDescent="0.25"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</row>
    <row r="83" spans="27:45" ht="24.95" customHeight="1" x14ac:dyDescent="0.25"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1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</row>
    <row r="84" spans="27:45" ht="24.95" customHeight="1" x14ac:dyDescent="0.25"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1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</row>
    <row r="85" spans="27:45" ht="24.95" customHeight="1" x14ac:dyDescent="0.25"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1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</row>
    <row r="86" spans="27:45" ht="24.95" customHeight="1" x14ac:dyDescent="0.25"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1</v>
      </c>
      <c r="AP86" s="2">
        <v>0</v>
      </c>
      <c r="AQ86" s="2">
        <v>0</v>
      </c>
      <c r="AR86" s="2">
        <v>0</v>
      </c>
      <c r="AS86" s="2">
        <v>0</v>
      </c>
    </row>
    <row r="87" spans="27:45" ht="24.95" customHeight="1" x14ac:dyDescent="0.25"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1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</row>
    <row r="88" spans="27:45" ht="24.95" customHeight="1" x14ac:dyDescent="0.25"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1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</row>
    <row r="89" spans="27:45" ht="24.95" customHeight="1" x14ac:dyDescent="0.25"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1</v>
      </c>
      <c r="AS89" s="2">
        <v>0</v>
      </c>
    </row>
    <row r="90" spans="27:45" ht="24.95" customHeight="1" x14ac:dyDescent="0.25"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1</v>
      </c>
    </row>
    <row r="91" spans="27:45" ht="24.95" customHeight="1" x14ac:dyDescent="0.25"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1</v>
      </c>
      <c r="AQ91" s="2">
        <v>0</v>
      </c>
      <c r="AR91" s="2">
        <v>0</v>
      </c>
      <c r="AS91" s="2">
        <v>0</v>
      </c>
    </row>
    <row r="92" spans="27:45" ht="24.95" customHeight="1" x14ac:dyDescent="0.25"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1</v>
      </c>
      <c r="AR92" s="2">
        <v>0</v>
      </c>
      <c r="AS92" s="2">
        <v>0</v>
      </c>
    </row>
    <row r="94" spans="27:45" ht="24.95" customHeight="1" x14ac:dyDescent="0.25">
      <c r="AA94" s="2" t="s">
        <v>25</v>
      </c>
    </row>
    <row r="95" spans="27:45" ht="24.95" customHeight="1" x14ac:dyDescent="0.25">
      <c r="AD95" s="2">
        <v>1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</row>
    <row r="96" spans="27:45" ht="24.95" customHeight="1" x14ac:dyDescent="0.25">
      <c r="AD96" s="2">
        <v>0</v>
      </c>
      <c r="AE96" s="2">
        <v>1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</row>
    <row r="97" spans="30:45" ht="24.95" customHeight="1" x14ac:dyDescent="0.25">
      <c r="AD97" s="2">
        <v>0</v>
      </c>
      <c r="AE97" s="2">
        <v>0</v>
      </c>
      <c r="AF97" s="2">
        <v>1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</row>
    <row r="98" spans="30:45" ht="24.95" customHeight="1" x14ac:dyDescent="0.25">
      <c r="AD98" s="2">
        <v>0</v>
      </c>
      <c r="AE98" s="2">
        <v>0</v>
      </c>
      <c r="AF98" s="2">
        <v>0</v>
      </c>
      <c r="AG98" s="2">
        <v>1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</row>
    <row r="99" spans="30:45" ht="24.95" customHeight="1" x14ac:dyDescent="0.25">
      <c r="AD99" s="2">
        <v>0</v>
      </c>
      <c r="AE99" s="2">
        <v>0</v>
      </c>
      <c r="AF99" s="2">
        <v>0</v>
      </c>
      <c r="AG99" s="2">
        <v>0</v>
      </c>
      <c r="AH99" s="2">
        <v>1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</row>
    <row r="100" spans="30:45" ht="24.95" customHeight="1" x14ac:dyDescent="0.25"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1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</row>
    <row r="101" spans="30:45" ht="24.95" customHeight="1" x14ac:dyDescent="0.25"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1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</row>
    <row r="102" spans="30:45" ht="24.95" customHeight="1" x14ac:dyDescent="0.25"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1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0</v>
      </c>
    </row>
    <row r="103" spans="30:45" ht="24.95" customHeight="1" x14ac:dyDescent="0.25"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1</v>
      </c>
      <c r="AQ103" s="2">
        <v>0</v>
      </c>
      <c r="AR103" s="2">
        <v>0</v>
      </c>
      <c r="AS103" s="2">
        <v>0</v>
      </c>
    </row>
    <row r="104" spans="30:45" ht="24.95" customHeight="1" x14ac:dyDescent="0.25"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1</v>
      </c>
      <c r="AR104" s="2">
        <v>0</v>
      </c>
      <c r="AS104" s="2">
        <v>0</v>
      </c>
    </row>
    <row r="105" spans="30:45" ht="24.95" customHeight="1" x14ac:dyDescent="0.25"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1</v>
      </c>
      <c r="AS105" s="2">
        <v>0</v>
      </c>
    </row>
    <row r="106" spans="30:45" ht="24.95" customHeight="1" x14ac:dyDescent="0.25"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1</v>
      </c>
    </row>
    <row r="107" spans="30:45" ht="24.95" customHeight="1" x14ac:dyDescent="0.25"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1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</row>
    <row r="108" spans="30:45" ht="24.95" customHeight="1" x14ac:dyDescent="0.25"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1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</row>
    <row r="109" spans="30:45" ht="24.95" customHeight="1" x14ac:dyDescent="0.25"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1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</row>
    <row r="110" spans="30:45" ht="24.95" customHeight="1" x14ac:dyDescent="0.25"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1</v>
      </c>
      <c r="AP110" s="2">
        <v>0</v>
      </c>
      <c r="AQ110" s="2">
        <v>0</v>
      </c>
      <c r="AR110" s="2">
        <v>0</v>
      </c>
      <c r="AS110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AS110"/>
  <sheetViews>
    <sheetView topLeftCell="J4" zoomScaleNormal="100" workbookViewId="0">
      <selection activeCell="V21" sqref="V21"/>
    </sheetView>
  </sheetViews>
  <sheetFormatPr defaultColWidth="5.7109375" defaultRowHeight="24.95" customHeight="1" x14ac:dyDescent="0.25"/>
  <cols>
    <col min="22" max="22" width="26.28515625" customWidth="1"/>
    <col min="23" max="23" width="33.7109375" customWidth="1"/>
  </cols>
  <sheetData>
    <row r="2" spans="3:45" ht="24.95" customHeight="1" x14ac:dyDescent="0.25">
      <c r="C2" s="2" t="s">
        <v>11</v>
      </c>
      <c r="D2" s="2"/>
      <c r="E2" s="2"/>
      <c r="F2" s="2"/>
      <c r="G2" s="2"/>
      <c r="H2" s="2"/>
      <c r="I2" s="2"/>
      <c r="J2" s="2"/>
      <c r="K2" s="2"/>
      <c r="L2" s="2"/>
      <c r="M2" s="2" t="s">
        <v>14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19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3:45" ht="24.95" customHeigh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3:45" ht="24.95" customHeight="1" x14ac:dyDescent="0.25">
      <c r="C4" s="2" t="s">
        <v>32</v>
      </c>
      <c r="D4" s="2"/>
      <c r="E4" s="2"/>
      <c r="F4" s="2"/>
      <c r="G4" s="2"/>
      <c r="H4" s="2"/>
      <c r="I4" s="2"/>
      <c r="J4" s="2"/>
      <c r="K4" s="2"/>
      <c r="L4" s="2"/>
      <c r="M4" s="2" t="s">
        <v>33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 t="s">
        <v>35</v>
      </c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3:45" ht="24.95" customHeight="1" x14ac:dyDescent="0.25">
      <c r="C5" s="2"/>
      <c r="D5" s="2"/>
      <c r="E5" s="2"/>
      <c r="F5" s="2">
        <v>1</v>
      </c>
      <c r="G5" s="2">
        <v>0</v>
      </c>
      <c r="H5" s="2">
        <v>0</v>
      </c>
      <c r="I5" s="2">
        <v>0</v>
      </c>
      <c r="J5" s="2"/>
      <c r="K5" s="2"/>
      <c r="L5" s="2"/>
      <c r="M5" s="2"/>
      <c r="N5" s="2"/>
      <c r="O5" s="2"/>
      <c r="P5" s="2">
        <v>1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/>
      <c r="Y5" s="2"/>
      <c r="Z5" s="2"/>
      <c r="AA5" s="2"/>
      <c r="AB5" s="2"/>
      <c r="AC5" s="2"/>
      <c r="AD5" s="2">
        <v>1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</row>
    <row r="6" spans="3:45" ht="24.95" customHeight="1" x14ac:dyDescent="0.25">
      <c r="C6" s="2"/>
      <c r="D6" s="2"/>
      <c r="E6" s="2"/>
      <c r="F6" s="2">
        <v>0</v>
      </c>
      <c r="G6" s="2">
        <v>1</v>
      </c>
      <c r="H6" s="2">
        <v>0</v>
      </c>
      <c r="I6" s="2">
        <v>0</v>
      </c>
      <c r="J6" s="2"/>
      <c r="K6" s="2"/>
      <c r="L6" s="2"/>
      <c r="M6" s="2"/>
      <c r="N6" s="2"/>
      <c r="O6" s="2"/>
      <c r="P6" s="2">
        <v>0</v>
      </c>
      <c r="Q6" s="2">
        <v>1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/>
      <c r="Y6" s="2"/>
      <c r="Z6" s="2"/>
      <c r="AA6" s="2"/>
      <c r="AB6" s="2"/>
      <c r="AC6" s="2"/>
      <c r="AD6" s="2">
        <v>0</v>
      </c>
      <c r="AE6" s="2">
        <v>1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</row>
    <row r="7" spans="3:45" ht="24.95" customHeight="1" x14ac:dyDescent="0.25">
      <c r="C7" s="2"/>
      <c r="D7" s="2"/>
      <c r="E7" s="2"/>
      <c r="F7" s="2">
        <v>0</v>
      </c>
      <c r="G7" s="2">
        <v>0</v>
      </c>
      <c r="H7" s="2">
        <v>1</v>
      </c>
      <c r="I7" s="2">
        <v>0</v>
      </c>
      <c r="J7" s="2"/>
      <c r="K7" s="2"/>
      <c r="L7" s="2"/>
      <c r="M7" s="2"/>
      <c r="N7" s="2"/>
      <c r="O7" s="2"/>
      <c r="P7" s="2">
        <v>0</v>
      </c>
      <c r="Q7" s="2">
        <v>0</v>
      </c>
      <c r="R7" s="2">
        <v>1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/>
      <c r="Y7" s="2"/>
      <c r="Z7" s="2"/>
      <c r="AA7" s="2"/>
      <c r="AB7" s="2"/>
      <c r="AC7" s="2"/>
      <c r="AD7" s="2">
        <v>0</v>
      </c>
      <c r="AE7" s="2">
        <v>0</v>
      </c>
      <c r="AF7" s="2">
        <v>1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</row>
    <row r="8" spans="3:45" ht="24.95" customHeight="1" x14ac:dyDescent="0.25">
      <c r="C8" s="2"/>
      <c r="D8" s="2"/>
      <c r="E8" s="2"/>
      <c r="F8" s="2">
        <v>0</v>
      </c>
      <c r="G8" s="2">
        <v>0</v>
      </c>
      <c r="H8" s="2">
        <v>0</v>
      </c>
      <c r="I8" s="2" t="str">
        <f>IMEXP(COMPLEX(0,(2*PI())/(2^2)))</f>
        <v>-3.49145625605507E-15+i</v>
      </c>
      <c r="J8" s="2"/>
      <c r="K8" s="2"/>
      <c r="L8" s="2"/>
      <c r="M8" s="2"/>
      <c r="N8" s="2"/>
      <c r="O8" s="2"/>
      <c r="P8" s="2">
        <v>0</v>
      </c>
      <c r="Q8" s="2">
        <v>0</v>
      </c>
      <c r="R8" s="2">
        <v>0</v>
      </c>
      <c r="S8" s="2">
        <v>1</v>
      </c>
      <c r="T8" s="2">
        <v>0</v>
      </c>
      <c r="U8" s="2">
        <v>0</v>
      </c>
      <c r="V8" s="2">
        <v>0</v>
      </c>
      <c r="W8" s="2">
        <v>0</v>
      </c>
      <c r="X8" s="2"/>
      <c r="Y8" s="2"/>
      <c r="Z8" s="2"/>
      <c r="AA8" s="2"/>
      <c r="AB8" s="2"/>
      <c r="AC8" s="2"/>
      <c r="AD8" s="2">
        <v>0</v>
      </c>
      <c r="AE8" s="2">
        <v>0</v>
      </c>
      <c r="AF8" s="2">
        <v>0</v>
      </c>
      <c r="AG8" s="2">
        <v>1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</row>
    <row r="9" spans="3:45" ht="24.95" customHeight="1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>
        <v>0</v>
      </c>
      <c r="Q9" s="2">
        <v>0</v>
      </c>
      <c r="R9" s="2">
        <v>0</v>
      </c>
      <c r="S9" s="2">
        <v>0</v>
      </c>
      <c r="T9" s="2">
        <v>1</v>
      </c>
      <c r="U9" s="2">
        <v>0</v>
      </c>
      <c r="V9" s="2">
        <v>0</v>
      </c>
      <c r="W9" s="2">
        <v>0</v>
      </c>
      <c r="X9" s="2"/>
      <c r="Y9" s="2"/>
      <c r="Z9" s="2"/>
      <c r="AA9" s="2"/>
      <c r="AB9" s="2"/>
      <c r="AC9" s="2"/>
      <c r="AD9" s="2">
        <v>0</v>
      </c>
      <c r="AE9" s="2">
        <v>0</v>
      </c>
      <c r="AF9" s="2">
        <v>0</v>
      </c>
      <c r="AG9" s="2">
        <v>0</v>
      </c>
      <c r="AH9" s="2">
        <v>1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</row>
    <row r="10" spans="3:45" ht="24.95" customHeight="1" x14ac:dyDescent="0.25">
      <c r="C10" s="2" t="s">
        <v>31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 t="str">
        <f>IMEXP(COMPLEX(0,(2*PI())/(2^3)))</f>
        <v>0.707106781186548+0.707106781186547i</v>
      </c>
      <c r="V10" s="2">
        <v>0</v>
      </c>
      <c r="W10" s="2">
        <v>0</v>
      </c>
      <c r="X10" s="2"/>
      <c r="Y10" s="2"/>
      <c r="Z10" s="2"/>
      <c r="AA10" s="2"/>
      <c r="AB10" s="2"/>
      <c r="AC10" s="2"/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1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</row>
    <row r="11" spans="3:45" ht="24.95" customHeight="1" x14ac:dyDescent="0.25">
      <c r="C11" s="2"/>
      <c r="D11" s="2"/>
      <c r="E11" s="2"/>
      <c r="F11" s="2">
        <v>1</v>
      </c>
      <c r="G11" s="2">
        <v>0</v>
      </c>
      <c r="H11" s="2">
        <v>0</v>
      </c>
      <c r="I11" s="2">
        <v>0</v>
      </c>
      <c r="J11" s="2"/>
      <c r="K11" s="2"/>
      <c r="L11" s="2"/>
      <c r="M11" s="2"/>
      <c r="N11" s="2"/>
      <c r="O11" s="2"/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1</v>
      </c>
      <c r="W11" s="2">
        <v>0</v>
      </c>
      <c r="X11" s="2"/>
      <c r="Y11" s="2"/>
      <c r="Z11" s="2"/>
      <c r="AA11" s="2"/>
      <c r="AB11" s="2"/>
      <c r="AC11" s="2"/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1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</row>
    <row r="12" spans="3:45" ht="24.95" customHeight="1" x14ac:dyDescent="0.25">
      <c r="C12" s="2"/>
      <c r="D12" s="2"/>
      <c r="E12" s="2"/>
      <c r="F12" s="2">
        <v>0</v>
      </c>
      <c r="G12" s="2">
        <v>1</v>
      </c>
      <c r="H12" s="2">
        <v>0</v>
      </c>
      <c r="I12" s="2">
        <v>0</v>
      </c>
      <c r="J12" s="2"/>
      <c r="K12" s="2"/>
      <c r="L12" s="2"/>
      <c r="M12" s="2"/>
      <c r="N12" s="2"/>
      <c r="O12" s="2"/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tr">
        <f>IMEXP(COMPLEX(0,(2*PI())/(2^3)))</f>
        <v>0.707106781186548+0.707106781186547i</v>
      </c>
      <c r="X12" s="2"/>
      <c r="Y12" s="2"/>
      <c r="Z12" s="2"/>
      <c r="AA12" s="2"/>
      <c r="AB12" s="2"/>
      <c r="AC12" s="2"/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1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</row>
    <row r="13" spans="3:45" ht="24.95" customHeight="1" x14ac:dyDescent="0.25">
      <c r="C13" s="2"/>
      <c r="D13" s="2"/>
      <c r="E13" s="2"/>
      <c r="F13" s="2">
        <v>0</v>
      </c>
      <c r="G13" s="2">
        <v>0</v>
      </c>
      <c r="H13" s="2">
        <v>1</v>
      </c>
      <c r="I13" s="2">
        <v>0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1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</row>
    <row r="14" spans="3:45" ht="24.95" customHeight="1" x14ac:dyDescent="0.25">
      <c r="C14" s="2"/>
      <c r="D14" s="2"/>
      <c r="E14" s="2"/>
      <c r="F14" s="2">
        <v>0</v>
      </c>
      <c r="G14" s="2">
        <v>0</v>
      </c>
      <c r="H14" s="2">
        <v>0</v>
      </c>
      <c r="I14" s="2" t="str">
        <f>IMEXP(COMPLEX(0,(2*PI())/(2^2)))</f>
        <v>-3.49145625605507E-15+i</v>
      </c>
      <c r="J14" s="2"/>
      <c r="K14" s="2"/>
      <c r="L14" s="2"/>
      <c r="M14" s="2" t="s">
        <v>34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 t="str">
        <f>IMEXP(COMPLEX(0,(2*PI())/(2^4)))</f>
        <v>0.923879532511287+0.38268343236509i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</row>
    <row r="15" spans="3:45" ht="24.95" customHeight="1" x14ac:dyDescent="0.2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>
        <v>1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/>
      <c r="Y15" s="2"/>
      <c r="Z15" s="2"/>
      <c r="AA15" s="2"/>
      <c r="AB15" s="2"/>
      <c r="AC15" s="2"/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1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</row>
    <row r="16" spans="3:45" ht="24.95" customHeight="1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>
        <v>0</v>
      </c>
      <c r="Q16" s="2">
        <v>1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/>
      <c r="Y16" s="2"/>
      <c r="Z16" s="2"/>
      <c r="AA16" s="2"/>
      <c r="AB16" s="2"/>
      <c r="AC16" s="2"/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 t="str">
        <f>IMEXP(COMPLEX(0,(2*PI())/(2^4)))</f>
        <v>0.923879532511287+0.38268343236509i</v>
      </c>
      <c r="AP16" s="2">
        <v>0</v>
      </c>
      <c r="AQ16" s="2">
        <v>0</v>
      </c>
      <c r="AR16" s="2">
        <v>0</v>
      </c>
      <c r="AS16" s="2">
        <v>0</v>
      </c>
    </row>
    <row r="17" spans="3:45" ht="24.95" customHeight="1" x14ac:dyDescent="0.2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/>
      <c r="Y17" s="2"/>
      <c r="Z17" s="2"/>
      <c r="AA17" s="2"/>
      <c r="AB17" s="2"/>
      <c r="AC17" s="2"/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1</v>
      </c>
      <c r="AQ17" s="2">
        <v>0</v>
      </c>
      <c r="AR17" s="2">
        <v>0</v>
      </c>
      <c r="AS17" s="2">
        <v>0</v>
      </c>
    </row>
    <row r="18" spans="3:45" ht="24.95" customHeight="1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>
        <v>0</v>
      </c>
      <c r="Q18" s="2">
        <v>0</v>
      </c>
      <c r="R18" s="2">
        <v>0</v>
      </c>
      <c r="S18" s="2">
        <v>1</v>
      </c>
      <c r="T18" s="2">
        <v>0</v>
      </c>
      <c r="U18" s="2">
        <v>0</v>
      </c>
      <c r="V18" s="2">
        <v>0</v>
      </c>
      <c r="W18" s="2">
        <v>0</v>
      </c>
      <c r="X18" s="2"/>
      <c r="Y18" s="2"/>
      <c r="Z18" s="2"/>
      <c r="AA18" s="2"/>
      <c r="AB18" s="2"/>
      <c r="AC18" s="2"/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 t="str">
        <f>IMEXP(COMPLEX(0,(2*PI())/(2^4)))</f>
        <v>0.923879532511287+0.38268343236509i</v>
      </c>
      <c r="AR18" s="2">
        <v>0</v>
      </c>
      <c r="AS18" s="2">
        <v>0</v>
      </c>
    </row>
    <row r="19" spans="3:45" ht="24.95" customHeight="1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>
        <v>0</v>
      </c>
      <c r="Q19" s="2">
        <v>0</v>
      </c>
      <c r="R19" s="2">
        <v>0</v>
      </c>
      <c r="S19" s="2">
        <v>0</v>
      </c>
      <c r="T19" s="2">
        <v>1</v>
      </c>
      <c r="U19" s="2">
        <v>0</v>
      </c>
      <c r="V19" s="2">
        <v>0</v>
      </c>
      <c r="W19" s="2">
        <v>0</v>
      </c>
      <c r="X19" s="2"/>
      <c r="Y19" s="2"/>
      <c r="Z19" s="2"/>
      <c r="AA19" s="2"/>
      <c r="AB19" s="2"/>
      <c r="AC19" s="2"/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1</v>
      </c>
      <c r="AS19" s="2">
        <v>0</v>
      </c>
    </row>
    <row r="20" spans="3:45" ht="24.95" customHeight="1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0</v>
      </c>
      <c r="W20" s="2">
        <v>0</v>
      </c>
      <c r="X20" s="2"/>
      <c r="Y20" s="2"/>
      <c r="Z20" s="2"/>
      <c r="AA20" s="2"/>
      <c r="AB20" s="2"/>
      <c r="AC20" s="2"/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 t="str">
        <f>IMEXP(COMPLEX(0,(2*PI())/(2^4)))</f>
        <v>0.923879532511287+0.38268343236509i</v>
      </c>
    </row>
    <row r="21" spans="3:45" ht="24.95" customHeight="1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 t="str">
        <f>IMEXP(COMPLEX(0,(2*PI())/(2^2)))</f>
        <v>-3.49145625605507E-15+i</v>
      </c>
      <c r="W21" s="2">
        <v>0</v>
      </c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3:45" ht="24.95" customHeight="1" x14ac:dyDescent="0.2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tr">
        <f>IMEXP(COMPLEX(0,(2*PI())/(2^2)))</f>
        <v>-3.49145625605507E-15+i</v>
      </c>
      <c r="X22" s="2"/>
      <c r="Y22" s="2"/>
      <c r="Z22" s="2"/>
      <c r="AA22" s="2" t="s">
        <v>36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3:45" ht="24.95" customHeight="1" x14ac:dyDescent="0.2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>
        <v>1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</row>
    <row r="24" spans="3:45" ht="24.95" customHeight="1" x14ac:dyDescent="0.25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>
        <v>0</v>
      </c>
      <c r="AE24" s="2">
        <v>1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</row>
    <row r="25" spans="3:45" ht="24.95" customHeight="1" x14ac:dyDescent="0.25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>
        <v>0</v>
      </c>
      <c r="AE25" s="2">
        <v>0</v>
      </c>
      <c r="AF25" s="2">
        <v>1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</row>
    <row r="26" spans="3:45" ht="24.95" customHeight="1" x14ac:dyDescent="0.25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>
        <v>0</v>
      </c>
      <c r="AE26" s="2">
        <v>0</v>
      </c>
      <c r="AF26" s="2">
        <v>0</v>
      </c>
      <c r="AG26" s="2">
        <v>1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</row>
    <row r="27" spans="3:45" ht="24.95" customHeight="1" x14ac:dyDescent="0.25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>
        <v>0</v>
      </c>
      <c r="AE27" s="2">
        <v>0</v>
      </c>
      <c r="AF27" s="2">
        <v>0</v>
      </c>
      <c r="AG27" s="2">
        <v>0</v>
      </c>
      <c r="AH27" s="2">
        <v>1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</row>
    <row r="28" spans="3:45" ht="24.95" customHeight="1" x14ac:dyDescent="0.25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1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</row>
    <row r="29" spans="3:45" ht="24.95" customHeight="1" x14ac:dyDescent="0.2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1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</row>
    <row r="30" spans="3:45" ht="24.95" customHeight="1" x14ac:dyDescent="0.2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1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</row>
    <row r="31" spans="3:45" ht="24.95" customHeight="1" x14ac:dyDescent="0.2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1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</row>
    <row r="32" spans="3:45" ht="24.95" customHeight="1" x14ac:dyDescent="0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</row>
    <row r="33" spans="3:45" ht="24.95" customHeight="1" x14ac:dyDescent="0.2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 t="str">
        <f>IMEXP(COMPLEX(0,(2*PI())/(2^3)))</f>
        <v>0.707106781186548+0.707106781186547i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</row>
    <row r="34" spans="3:45" ht="24.95" customHeight="1" x14ac:dyDescent="0.2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 t="str">
        <f>IMEXP(COMPLEX(0,(2*PI())/(2^3)))</f>
        <v>0.707106781186548+0.707106781186547i</v>
      </c>
      <c r="AP34" s="2">
        <v>0</v>
      </c>
      <c r="AQ34" s="2">
        <v>0</v>
      </c>
      <c r="AR34" s="2">
        <v>0</v>
      </c>
      <c r="AS34" s="2">
        <v>0</v>
      </c>
    </row>
    <row r="35" spans="3:45" ht="24.95" customHeight="1" x14ac:dyDescent="0.2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1</v>
      </c>
      <c r="AQ35" s="2">
        <v>0</v>
      </c>
      <c r="AR35" s="2">
        <v>0</v>
      </c>
      <c r="AS35" s="2">
        <v>0</v>
      </c>
    </row>
    <row r="36" spans="3:45" ht="24.95" customHeight="1" x14ac:dyDescent="0.25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 t="s">
        <v>6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1</v>
      </c>
      <c r="AR36" s="2">
        <v>0</v>
      </c>
      <c r="AS36" s="2">
        <v>0</v>
      </c>
    </row>
    <row r="37" spans="3:45" ht="24.95" customHeight="1" x14ac:dyDescent="0.25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 t="str">
        <f>IMEXP(COMPLEX(0,(2*PI())/(2^3)))</f>
        <v>0.707106781186548+0.707106781186547i</v>
      </c>
      <c r="AS37" s="2">
        <v>0</v>
      </c>
    </row>
    <row r="38" spans="3:45" ht="24.95" customHeight="1" x14ac:dyDescent="0.25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 t="str">
        <f>IMEXP(COMPLEX(0,(2*PI())/(2^3)))</f>
        <v>0.707106781186548+0.707106781186547i</v>
      </c>
    </row>
    <row r="39" spans="3:45" ht="24.95" customHeight="1" x14ac:dyDescent="0.25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3:45" ht="24.95" customHeight="1" x14ac:dyDescent="0.25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 t="s">
        <v>37</v>
      </c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3:45" ht="24.95" customHeight="1" x14ac:dyDescent="0.25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>
        <v>1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</row>
    <row r="42" spans="3:45" ht="24.95" customHeight="1" x14ac:dyDescent="0.25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>
        <v>0</v>
      </c>
      <c r="AE42" s="2">
        <v>1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</row>
    <row r="43" spans="3:45" ht="24.95" customHeight="1" x14ac:dyDescent="0.25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>
        <v>0</v>
      </c>
      <c r="AE43" s="2">
        <v>0</v>
      </c>
      <c r="AF43" s="2">
        <v>1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</row>
    <row r="44" spans="3:45" ht="24.95" customHeight="1" x14ac:dyDescent="0.25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>
        <v>0</v>
      </c>
      <c r="AE44" s="2">
        <v>0</v>
      </c>
      <c r="AF44" s="2">
        <v>0</v>
      </c>
      <c r="AG44" s="2">
        <v>1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</row>
    <row r="45" spans="3:45" ht="24.95" customHeight="1" x14ac:dyDescent="0.25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>
        <v>0</v>
      </c>
      <c r="AE45" s="2">
        <v>0</v>
      </c>
      <c r="AF45" s="2">
        <v>0</v>
      </c>
      <c r="AG45" s="2">
        <v>0</v>
      </c>
      <c r="AH45" s="2">
        <v>1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</row>
    <row r="46" spans="3:45" ht="24.95" customHeight="1" x14ac:dyDescent="0.25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1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</row>
    <row r="47" spans="3:45" ht="24.95" customHeight="1" x14ac:dyDescent="0.25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1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</row>
    <row r="48" spans="3:45" ht="24.95" customHeight="1" x14ac:dyDescent="0.25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1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</row>
    <row r="49" spans="3:45" ht="24.95" customHeight="1" x14ac:dyDescent="0.25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1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</row>
    <row r="50" spans="3:45" ht="24.95" customHeight="1" x14ac:dyDescent="0.25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1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</row>
    <row r="51" spans="3:45" ht="24.95" customHeight="1" x14ac:dyDescent="0.25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1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</row>
    <row r="52" spans="3:45" ht="24.95" customHeight="1" x14ac:dyDescent="0.25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1</v>
      </c>
      <c r="AP52" s="2">
        <v>0</v>
      </c>
      <c r="AQ52" s="2">
        <v>0</v>
      </c>
      <c r="AR52" s="2">
        <v>0</v>
      </c>
      <c r="AS52" s="2">
        <v>0</v>
      </c>
    </row>
    <row r="53" spans="3:45" ht="24.95" customHeight="1" x14ac:dyDescent="0.25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 t="str">
        <f>IMEXP(COMPLEX(0,(2*PI())/(2^2)))</f>
        <v>-3.49145625605507E-15+i</v>
      </c>
      <c r="AQ53" s="2">
        <v>0</v>
      </c>
      <c r="AR53" s="2">
        <v>0</v>
      </c>
      <c r="AS53" s="2">
        <v>0</v>
      </c>
    </row>
    <row r="54" spans="3:45" ht="24.95" customHeight="1" x14ac:dyDescent="0.25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 t="str">
        <f>IMEXP(COMPLEX(0,(2*PI())/(2^2)))</f>
        <v>-3.49145625605507E-15+i</v>
      </c>
      <c r="AR54" s="2">
        <v>0</v>
      </c>
      <c r="AS54" s="2">
        <v>0</v>
      </c>
    </row>
    <row r="55" spans="3:45" ht="24.95" customHeight="1" x14ac:dyDescent="0.25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 t="str">
        <f>IMEXP(COMPLEX(0,(2*PI())/(2^2)))</f>
        <v>-3.49145625605507E-15+i</v>
      </c>
      <c r="AS55" s="2">
        <v>0</v>
      </c>
    </row>
    <row r="56" spans="3:45" ht="24.95" customHeight="1" x14ac:dyDescent="0.25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 t="str">
        <f>IMEXP(COMPLEX(0,(2*PI())/(2^2)))</f>
        <v>-3.49145625605507E-15+i</v>
      </c>
    </row>
    <row r="57" spans="3:45" ht="24.95" customHeight="1" x14ac:dyDescent="0.25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3:45" ht="24.95" customHeight="1" x14ac:dyDescent="0.25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3:45" ht="24.95" customHeight="1" x14ac:dyDescent="0.25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11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</row>
    <row r="60" spans="3:45" ht="24.95" customHeight="1" x14ac:dyDescent="0.25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</row>
    <row r="61" spans="3:45" ht="24.95" customHeight="1" x14ac:dyDescent="0.25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</row>
    <row r="62" spans="3:45" ht="24.95" customHeight="1" x14ac:dyDescent="0.25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</row>
    <row r="63" spans="3:45" ht="24.95" customHeight="1" x14ac:dyDescent="0.25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</row>
    <row r="64" spans="3:45" ht="24.95" customHeight="1" x14ac:dyDescent="0.25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</row>
    <row r="65" spans="3:45" ht="24.95" customHeight="1" x14ac:dyDescent="0.25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</row>
    <row r="66" spans="3:45" ht="24.95" customHeight="1" x14ac:dyDescent="0.25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</row>
    <row r="67" spans="3:45" ht="24.95" customHeight="1" x14ac:dyDescent="0.25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</row>
    <row r="68" spans="3:45" ht="24.95" customHeight="1" x14ac:dyDescent="0.25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</row>
    <row r="69" spans="3:45" ht="24.95" customHeight="1" x14ac:dyDescent="0.25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</row>
    <row r="70" spans="3:45" ht="24.95" customHeight="1" x14ac:dyDescent="0.25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</row>
    <row r="71" spans="3:45" ht="24.95" customHeight="1" x14ac:dyDescent="0.25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</row>
    <row r="72" spans="3:45" ht="24.95" customHeight="1" x14ac:dyDescent="0.25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</row>
    <row r="73" spans="3:45" ht="24.95" customHeight="1" x14ac:dyDescent="0.25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</row>
    <row r="74" spans="3:45" ht="24.95" customHeight="1" x14ac:dyDescent="0.25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</row>
    <row r="75" spans="3:45" ht="24.95" customHeight="1" x14ac:dyDescent="0.25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spans="3:45" ht="24.95" customHeight="1" x14ac:dyDescent="0.25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spans="3:45" ht="24.95" customHeight="1" x14ac:dyDescent="0.25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spans="3:45" ht="24.95" customHeight="1" x14ac:dyDescent="0.25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spans="3:45" ht="24.95" customHeight="1" x14ac:dyDescent="0.25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spans="3:45" ht="24.95" customHeight="1" x14ac:dyDescent="0.25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spans="3:45" ht="24.95" customHeight="1" x14ac:dyDescent="0.25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spans="3:45" ht="24.95" customHeight="1" x14ac:dyDescent="0.25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spans="3:45" ht="24.95" customHeight="1" x14ac:dyDescent="0.25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spans="3:45" ht="24.95" customHeight="1" x14ac:dyDescent="0.25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spans="3:45" ht="24.95" customHeight="1" x14ac:dyDescent="0.25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spans="3:45" ht="24.95" customHeight="1" x14ac:dyDescent="0.25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spans="3:45" ht="24.95" customHeight="1" x14ac:dyDescent="0.25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spans="3:45" ht="24.95" customHeight="1" x14ac:dyDescent="0.25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spans="3:45" ht="24.95" customHeight="1" x14ac:dyDescent="0.25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spans="3:45" ht="24.95" customHeight="1" x14ac:dyDescent="0.25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spans="3:45" ht="24.95" customHeight="1" x14ac:dyDescent="0.25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spans="3:45" ht="24.95" customHeight="1" x14ac:dyDescent="0.25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spans="3:45" ht="24.95" customHeight="1" x14ac:dyDescent="0.25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3:45" ht="24.95" customHeight="1" x14ac:dyDescent="0.25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spans="3:45" ht="24.95" customHeight="1" x14ac:dyDescent="0.25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spans="3:45" ht="24.95" customHeight="1" x14ac:dyDescent="0.25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spans="3:45" ht="24.95" customHeight="1" x14ac:dyDescent="0.25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spans="3:45" ht="24.95" customHeight="1" x14ac:dyDescent="0.25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spans="3:45" ht="24.95" customHeight="1" x14ac:dyDescent="0.25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spans="3:45" ht="24.95" customHeight="1" x14ac:dyDescent="0.25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spans="3:45" ht="24.95" customHeight="1" x14ac:dyDescent="0.25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spans="3:45" ht="24.95" customHeight="1" x14ac:dyDescent="0.25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spans="3:45" ht="24.95" customHeight="1" x14ac:dyDescent="0.25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spans="3:45" ht="24.95" customHeight="1" x14ac:dyDescent="0.25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spans="3:45" ht="24.95" customHeight="1" x14ac:dyDescent="0.25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spans="3:45" ht="24.95" customHeight="1" x14ac:dyDescent="0.25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</row>
    <row r="107" spans="3:45" ht="24.95" customHeight="1" x14ac:dyDescent="0.25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</row>
    <row r="108" spans="3:45" ht="24.95" customHeight="1" x14ac:dyDescent="0.25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</row>
    <row r="109" spans="3:45" ht="24.95" customHeight="1" x14ac:dyDescent="0.25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</row>
    <row r="110" spans="3:45" ht="24.95" customHeight="1" x14ac:dyDescent="0.25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C3:K16"/>
  <sheetViews>
    <sheetView zoomScale="50" zoomScaleNormal="50" workbookViewId="0">
      <selection activeCell="K8" sqref="K8"/>
    </sheetView>
  </sheetViews>
  <sheetFormatPr defaultRowHeight="45" customHeight="1" x14ac:dyDescent="0.25"/>
  <cols>
    <col min="1" max="5" width="9.140625" style="11"/>
    <col min="6" max="6" width="27" style="24" customWidth="1"/>
    <col min="7" max="16384" width="9.140625" style="11"/>
  </cols>
  <sheetData>
    <row r="3" spans="3:11" ht="45" customHeight="1" x14ac:dyDescent="0.25">
      <c r="C3" s="11">
        <f ca="1">RAND()</f>
        <v>0.20812255939996116</v>
      </c>
      <c r="D3" s="11">
        <f ca="1">SQRT(C3)</f>
        <v>0.45620451488335928</v>
      </c>
      <c r="F3" s="24">
        <v>0</v>
      </c>
      <c r="J3" s="11">
        <v>0.28991559589309801</v>
      </c>
      <c r="K3" s="11">
        <v>8.4051052742050103E-2</v>
      </c>
    </row>
    <row r="4" spans="3:11" ht="45" customHeight="1" x14ac:dyDescent="0.25">
      <c r="C4" s="11">
        <f ca="1">1-C3</f>
        <v>0.79187744060003884</v>
      </c>
      <c r="D4" s="11">
        <f ca="1">SQRT(C4)</f>
        <v>0.88987495784522386</v>
      </c>
      <c r="F4" s="24">
        <v>1</v>
      </c>
      <c r="J4" s="11">
        <v>0.792134366669205</v>
      </c>
      <c r="K4" s="11">
        <v>0.62747685485842297</v>
      </c>
    </row>
    <row r="5" spans="3:11" ht="45" customHeight="1" x14ac:dyDescent="0.25">
      <c r="J5" s="11">
        <v>0.184598221134117</v>
      </c>
      <c r="K5" s="11">
        <v>3.40765032458804E-2</v>
      </c>
    </row>
    <row r="6" spans="3:11" ht="45" customHeight="1" x14ac:dyDescent="0.25">
      <c r="J6" s="11">
        <v>0.50437643596191595</v>
      </c>
      <c r="K6" s="11">
        <v>0.25439558915364502</v>
      </c>
    </row>
    <row r="7" spans="3:11" ht="45" customHeight="1" x14ac:dyDescent="0.25">
      <c r="F7" s="24">
        <v>0</v>
      </c>
    </row>
    <row r="8" spans="3:11" ht="45" customHeight="1" x14ac:dyDescent="0.25">
      <c r="F8" s="24">
        <v>1</v>
      </c>
      <c r="K8" s="11">
        <v>0.99999999999999845</v>
      </c>
    </row>
    <row r="11" spans="3:11" ht="45" customHeight="1" x14ac:dyDescent="0.25">
      <c r="F11" s="24">
        <v>0.84352113642781634</v>
      </c>
    </row>
    <row r="12" spans="3:11" ht="45" customHeight="1" x14ac:dyDescent="0.25">
      <c r="F12" s="24">
        <v>0.53709598062127151</v>
      </c>
    </row>
    <row r="15" spans="3:11" ht="45" customHeight="1" x14ac:dyDescent="0.25">
      <c r="F15" s="24">
        <v>0.34369689551686544</v>
      </c>
    </row>
    <row r="16" spans="3:11" ht="45" customHeight="1" x14ac:dyDescent="0.25">
      <c r="F16" s="24">
        <v>0.93908063765156446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GenerateStatesVector4Qubit">
                <anchor moveWithCells="1" sizeWithCells="1">
                  <from>
                    <xdr:col>5</xdr:col>
                    <xdr:colOff>76200</xdr:colOff>
                    <xdr:row>16</xdr:row>
                    <xdr:rowOff>238125</xdr:rowOff>
                  </from>
                  <to>
                    <xdr:col>5</xdr:col>
                    <xdr:colOff>1619250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Button 3">
              <controlPr defaultSize="0" print="0" autoFill="0" autoPict="0" macro="[0]!GenerateStatesVector3Qubit">
                <anchor moveWithCells="1" sizeWithCells="1">
                  <from>
                    <xdr:col>5</xdr:col>
                    <xdr:colOff>76200</xdr:colOff>
                    <xdr:row>19</xdr:row>
                    <xdr:rowOff>85725</xdr:rowOff>
                  </from>
                  <to>
                    <xdr:col>5</xdr:col>
                    <xdr:colOff>1619250</xdr:colOff>
                    <xdr:row>20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5" name="Button 5">
              <controlPr defaultSize="0" print="0" autoFill="0" autoPict="0" macro="[0]!GenerateStatesVector2Qubit">
                <anchor moveWithCells="1" sizeWithCells="1">
                  <from>
                    <xdr:col>5</xdr:col>
                    <xdr:colOff>76200</xdr:colOff>
                    <xdr:row>22</xdr:row>
                    <xdr:rowOff>47625</xdr:rowOff>
                  </from>
                  <to>
                    <xdr:col>5</xdr:col>
                    <xdr:colOff>1619250</xdr:colOff>
                    <xdr:row>23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6" name="Button 7">
              <controlPr defaultSize="0" print="0" autoFill="0" autoPict="0" macro="[0]!CheckNormalisationStates">
                <anchor moveWithCells="1" sizeWithCells="1">
                  <from>
                    <xdr:col>4</xdr:col>
                    <xdr:colOff>561975</xdr:colOff>
                    <xdr:row>25</xdr:row>
                    <xdr:rowOff>47625</xdr:rowOff>
                  </from>
                  <to>
                    <xdr:col>6</xdr:col>
                    <xdr:colOff>19050</xdr:colOff>
                    <xdr:row>26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7" name="Button 8">
              <controlPr defaultSize="0" print="0" autoFill="0" autoPict="0" macro="[0]!InitialiseStatesSheet">
                <anchor moveWithCells="1" sizeWithCells="1">
                  <from>
                    <xdr:col>4</xdr:col>
                    <xdr:colOff>533400</xdr:colOff>
                    <xdr:row>27</xdr:row>
                    <xdr:rowOff>457200</xdr:rowOff>
                  </from>
                  <to>
                    <xdr:col>6</xdr:col>
                    <xdr:colOff>0</xdr:colOff>
                    <xdr:row>29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A11"/>
  <sheetViews>
    <sheetView zoomScale="25" zoomScaleNormal="25" workbookViewId="0">
      <selection activeCell="T4" sqref="T4"/>
    </sheetView>
  </sheetViews>
  <sheetFormatPr defaultRowHeight="45" customHeight="1" x14ac:dyDescent="0.25"/>
  <cols>
    <col min="1" max="1" width="42.28515625" style="3" customWidth="1"/>
    <col min="2" max="2" width="40.140625" style="3" customWidth="1"/>
    <col min="3" max="3" width="17" style="3" customWidth="1"/>
    <col min="4" max="16" width="20.7109375" style="3" bestFit="1" customWidth="1"/>
    <col min="17" max="19" width="9.140625" style="3" customWidth="1"/>
    <col min="20" max="20" width="13.140625" style="3" customWidth="1"/>
    <col min="21" max="21" width="14.28515625" style="3" customWidth="1"/>
    <col min="22" max="22" width="9.140625" style="3" customWidth="1"/>
    <col min="23" max="23" width="6.7109375" style="3" customWidth="1"/>
    <col min="24" max="25" width="20.7109375" style="3" bestFit="1" customWidth="1"/>
    <col min="26" max="30" width="20.7109375" style="3" customWidth="1"/>
    <col min="31" max="31" width="30.42578125" style="3" customWidth="1"/>
    <col min="32" max="35" width="20.7109375" style="3" bestFit="1" customWidth="1"/>
    <col min="36" max="90" width="20.85546875" style="3" bestFit="1" customWidth="1"/>
    <col min="91" max="175" width="19" style="3" bestFit="1" customWidth="1"/>
    <col min="176" max="16384" width="9.140625" style="3"/>
  </cols>
  <sheetData>
    <row r="2" spans="1:53" ht="45" customHeight="1" x14ac:dyDescent="0.25">
      <c r="C2" s="3" t="s">
        <v>1</v>
      </c>
      <c r="D2" s="3">
        <v>1</v>
      </c>
      <c r="E2" s="3">
        <v>0</v>
      </c>
      <c r="G2" s="3" t="s">
        <v>0</v>
      </c>
      <c r="H2" s="3">
        <v>0</v>
      </c>
      <c r="I2" s="3">
        <v>1</v>
      </c>
      <c r="K2" s="3" t="s">
        <v>2</v>
      </c>
      <c r="L2" s="3">
        <v>0</v>
      </c>
      <c r="M2" s="3" t="str">
        <f>COMPLEX(0,-1)</f>
        <v>-i</v>
      </c>
      <c r="O2" s="3" t="s">
        <v>3</v>
      </c>
      <c r="P2" s="3">
        <v>1</v>
      </c>
      <c r="Q2" s="3">
        <v>0</v>
      </c>
      <c r="S2" s="3" t="s">
        <v>4</v>
      </c>
      <c r="T2" s="3">
        <f>1/SQRT(2)</f>
        <v>0.70710678118654746</v>
      </c>
      <c r="U2" s="3">
        <f>1/SQRT(2)</f>
        <v>0.70710678118654746</v>
      </c>
      <c r="W2" s="3" t="s">
        <v>5</v>
      </c>
      <c r="X2" s="3">
        <v>1</v>
      </c>
      <c r="Y2" s="3">
        <v>0</v>
      </c>
      <c r="AA2" s="3" t="s">
        <v>49</v>
      </c>
      <c r="AB2" s="3">
        <v>1</v>
      </c>
      <c r="AC2" s="3">
        <v>0</v>
      </c>
      <c r="AE2" s="3" t="s">
        <v>27</v>
      </c>
      <c r="AF2" s="3">
        <v>0</v>
      </c>
      <c r="AG2" s="3">
        <v>0</v>
      </c>
      <c r="AI2" s="3" t="s">
        <v>28</v>
      </c>
      <c r="AJ2" s="3">
        <v>1</v>
      </c>
      <c r="AK2" s="3">
        <v>0</v>
      </c>
      <c r="AM2" s="3" t="s">
        <v>29</v>
      </c>
      <c r="AN2" s="3" t="str">
        <f ca="1">AK5</f>
        <v>0.188034454217198+0.68164730178241i</v>
      </c>
      <c r="AO2" s="3" t="str">
        <f ca="1">AK5</f>
        <v>0.188034454217198+0.68164730178241i</v>
      </c>
      <c r="AQ2" s="3" t="s">
        <v>38</v>
      </c>
      <c r="AR2" s="3">
        <v>1</v>
      </c>
      <c r="AS2" s="3">
        <v>0</v>
      </c>
      <c r="AU2" s="3">
        <v>1</v>
      </c>
      <c r="AX2" s="3">
        <v>0</v>
      </c>
      <c r="AZ2" s="3">
        <v>1</v>
      </c>
      <c r="BA2" s="3">
        <v>0</v>
      </c>
    </row>
    <row r="3" spans="1:53" ht="45" customHeight="1" x14ac:dyDescent="0.25">
      <c r="D3" s="3">
        <v>0</v>
      </c>
      <c r="E3" s="3">
        <v>1</v>
      </c>
      <c r="H3" s="3">
        <v>1</v>
      </c>
      <c r="I3" s="3">
        <v>0</v>
      </c>
      <c r="L3" s="3" t="str">
        <f>COMPLEX(0,1)</f>
        <v>i</v>
      </c>
      <c r="M3" s="3">
        <v>0</v>
      </c>
      <c r="P3" s="3">
        <v>0</v>
      </c>
      <c r="Q3" s="3">
        <v>-1</v>
      </c>
      <c r="T3" s="3">
        <f>1/SQRT(2)</f>
        <v>0.70710678118654746</v>
      </c>
      <c r="U3" s="3">
        <f>-1/SQRT(2)</f>
        <v>-0.70710678118654746</v>
      </c>
      <c r="X3" s="3">
        <v>0</v>
      </c>
      <c r="Y3" s="4" t="str">
        <f>IMEXP(COMPLEX(0,PI()/4))</f>
        <v>0.707106781186548+0.707106781186547i</v>
      </c>
      <c r="Z3" s="4"/>
      <c r="AA3" s="4"/>
      <c r="AB3" s="4">
        <v>0</v>
      </c>
      <c r="AC3" s="4" t="str">
        <f>IMEXP(COMPLEX(0,-1*PI()/4))</f>
        <v>0.707106781186548-0.707106781186547i</v>
      </c>
      <c r="AF3" s="3">
        <v>0</v>
      </c>
      <c r="AG3" s="3">
        <v>1</v>
      </c>
      <c r="AJ3" s="3">
        <v>0</v>
      </c>
      <c r="AK3" s="3">
        <v>0</v>
      </c>
      <c r="AN3" s="3" t="str">
        <f ca="1">AK5</f>
        <v>0.188034454217198+0.68164730178241i</v>
      </c>
      <c r="AO3" s="3" t="str">
        <f ca="1">IMPRODUCT(AK5,-1)</f>
        <v>-0.188034454217198-0.68164730178241i</v>
      </c>
      <c r="AR3" s="3">
        <v>1</v>
      </c>
      <c r="AS3" s="3">
        <v>1</v>
      </c>
      <c r="AU3" s="3">
        <v>0</v>
      </c>
      <c r="AX3" s="3">
        <v>1</v>
      </c>
      <c r="AZ3" s="3">
        <v>0</v>
      </c>
      <c r="BA3" s="3" t="str">
        <f>COMPLEX(0,1)</f>
        <v>i</v>
      </c>
    </row>
    <row r="5" spans="1:53" ht="45" customHeight="1" x14ac:dyDescent="0.25">
      <c r="A5" s="3" t="s">
        <v>4</v>
      </c>
      <c r="B5" s="5" t="s">
        <v>54</v>
      </c>
      <c r="N5" s="3" t="s">
        <v>7</v>
      </c>
      <c r="P5" s="3" t="s">
        <v>26</v>
      </c>
      <c r="AE5" s="3" t="s">
        <v>30</v>
      </c>
      <c r="AF5" s="3" t="str">
        <f ca="1">COMPLEX(RAND(), RAND())</f>
        <v>0.0568425347352471+0.206060961487399i</v>
      </c>
      <c r="AG5" s="3" t="s">
        <v>6</v>
      </c>
      <c r="AJ5" s="3" t="s">
        <v>6</v>
      </c>
      <c r="AK5" s="3" t="str">
        <f ca="1">IMPRODUCT(AF5,1/SQRT(IMPRODUCT(AF5,IMCONJUGATE(AF5))),1/SQRT(2))</f>
        <v>0.188034454217198+0.68164730178241i</v>
      </c>
      <c r="AN5" s="3" t="str">
        <f ca="1">IMPRODUCT(AK5,IMCONJUGATE(AK5))</f>
        <v>0.499999999999999</v>
      </c>
      <c r="AR5" s="3">
        <f ca="1">RAND()</f>
        <v>0.91050058395422795</v>
      </c>
      <c r="AS5" s="3">
        <f ca="1">1-AR5</f>
        <v>8.9499416045772051E-2</v>
      </c>
      <c r="AU5" s="3">
        <f>1/SQRT(2)</f>
        <v>0.70710678118654746</v>
      </c>
      <c r="AX5" s="3">
        <f>1/SQRT(2)</f>
        <v>0.70710678118654746</v>
      </c>
    </row>
    <row r="6" spans="1:53" ht="45" customHeight="1" x14ac:dyDescent="0.25">
      <c r="A6" s="14" t="s">
        <v>4</v>
      </c>
      <c r="B6" s="5" t="s">
        <v>54</v>
      </c>
      <c r="AE6" s="3" t="s">
        <v>6</v>
      </c>
      <c r="AF6" s="3" t="str">
        <f ca="1">COMPLEX(RAND(), RAND())</f>
        <v>0.620798313172037+0.246221562992095i</v>
      </c>
      <c r="AG6" s="3" t="s">
        <v>6</v>
      </c>
      <c r="AJ6" s="3" t="s">
        <v>6</v>
      </c>
      <c r="AK6" s="3" t="str">
        <f ca="1">IMPRODUCT(AF6,1/SQRT(IMPRODUCT(AF6,IMCONJUGATE(AF6))))</f>
        <v>0.929555878895105+0.368681255302665i</v>
      </c>
      <c r="AN6" s="3" t="str">
        <f ca="1">IMPRODUCT(AK6,IMCONJUGATE(AK6))</f>
        <v>1</v>
      </c>
      <c r="AR6" s="3">
        <f ca="1">SQRT(AR5)</f>
        <v>0.95420154262830026</v>
      </c>
      <c r="AS6" s="3">
        <f ca="1">SQRT(AS5)</f>
        <v>0.29916453005958454</v>
      </c>
      <c r="AU6" s="3">
        <f>1/SQRT(2)</f>
        <v>0.70710678118654746</v>
      </c>
      <c r="AX6" s="3">
        <f>-1/SQRT(2)</f>
        <v>-0.70710678118654746</v>
      </c>
    </row>
    <row r="7" spans="1:53" ht="45" customHeight="1" x14ac:dyDescent="0.25">
      <c r="B7" s="5"/>
      <c r="M7" s="3" t="s">
        <v>6</v>
      </c>
      <c r="AR7" s="3">
        <f ca="1">AS6</f>
        <v>0.29916453005958454</v>
      </c>
      <c r="AS7" s="3">
        <f ca="1">-AR6</f>
        <v>-0.95420154262830026</v>
      </c>
    </row>
    <row r="8" spans="1:53" ht="45" customHeight="1" x14ac:dyDescent="0.25">
      <c r="B8" s="5"/>
    </row>
    <row r="9" spans="1:53" ht="45" customHeight="1" x14ac:dyDescent="0.25">
      <c r="B9" s="5"/>
    </row>
    <row r="10" spans="1:53" ht="45" customHeight="1" x14ac:dyDescent="0.25">
      <c r="T10" s="3" t="s">
        <v>6</v>
      </c>
    </row>
    <row r="11" spans="1:53" ht="45" customHeight="1" x14ac:dyDescent="0.25">
      <c r="AI11" s="3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acro1">
                <anchor moveWithCells="1" sizeWithCells="1">
                  <from>
                    <xdr:col>8</xdr:col>
                    <xdr:colOff>0</xdr:colOff>
                    <xdr:row>4</xdr:row>
                    <xdr:rowOff>9525</xdr:rowOff>
                  </from>
                  <to>
                    <xdr:col>11</xdr:col>
                    <xdr:colOff>495300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nitialiseNames">
                <anchor moveWithCells="1" sizeWithCells="1">
                  <from>
                    <xdr:col>18</xdr:col>
                    <xdr:colOff>0</xdr:colOff>
                    <xdr:row>3</xdr:row>
                    <xdr:rowOff>552450</xdr:rowOff>
                  </from>
                  <to>
                    <xdr:col>23</xdr:col>
                    <xdr:colOff>1257300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ManualClearName">
                <anchor moveWithCells="1" sizeWithCells="1">
                  <from>
                    <xdr:col>3</xdr:col>
                    <xdr:colOff>762000</xdr:colOff>
                    <xdr:row>4</xdr:row>
                    <xdr:rowOff>38100</xdr:rowOff>
                  </from>
                  <to>
                    <xdr:col>7</xdr:col>
                    <xdr:colOff>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10:AN56"/>
  <sheetViews>
    <sheetView zoomScale="50" zoomScaleNormal="50" workbookViewId="0">
      <selection sqref="A1:B1048576"/>
    </sheetView>
  </sheetViews>
  <sheetFormatPr defaultRowHeight="15" x14ac:dyDescent="0.25"/>
  <cols>
    <col min="2" max="2" width="12.5703125" customWidth="1"/>
    <col min="5" max="5" width="11.42578125" customWidth="1"/>
    <col min="6" max="20" width="9.28515625" bestFit="1" customWidth="1"/>
    <col min="23" max="23" width="9.85546875" bestFit="1" customWidth="1"/>
    <col min="25" max="25" width="9.85546875" bestFit="1" customWidth="1"/>
    <col min="26" max="26" width="14.7109375" bestFit="1" customWidth="1"/>
    <col min="27" max="27" width="13.85546875" bestFit="1" customWidth="1"/>
    <col min="31" max="31" width="9.28515625" bestFit="1" customWidth="1"/>
    <col min="32" max="33" width="9.85546875" bestFit="1" customWidth="1"/>
  </cols>
  <sheetData>
    <row r="10" spans="7:40" ht="27.75" x14ac:dyDescent="0.25">
      <c r="G10" s="1">
        <v>1</v>
      </c>
      <c r="H10" s="1">
        <v>0</v>
      </c>
      <c r="I10" s="1">
        <v>0</v>
      </c>
      <c r="J10" s="1">
        <v>0</v>
      </c>
      <c r="N10">
        <v>0</v>
      </c>
      <c r="O10">
        <v>2</v>
      </c>
      <c r="S10">
        <v>0</v>
      </c>
      <c r="AE10">
        <v>0</v>
      </c>
      <c r="AF10">
        <v>2</v>
      </c>
      <c r="AM10">
        <v>0</v>
      </c>
      <c r="AN10">
        <v>2</v>
      </c>
    </row>
    <row r="11" spans="7:40" ht="27.75" x14ac:dyDescent="0.25">
      <c r="G11" s="1">
        <v>0</v>
      </c>
      <c r="H11" s="1">
        <v>1</v>
      </c>
      <c r="I11" s="1">
        <v>0</v>
      </c>
      <c r="J11" s="1">
        <v>0</v>
      </c>
      <c r="N11">
        <v>0</v>
      </c>
      <c r="O11">
        <v>2</v>
      </c>
      <c r="S11">
        <v>0</v>
      </c>
      <c r="AE11">
        <v>0</v>
      </c>
      <c r="AF11">
        <v>2</v>
      </c>
      <c r="AM11">
        <v>0</v>
      </c>
      <c r="AN11">
        <v>2</v>
      </c>
    </row>
    <row r="12" spans="7:40" ht="27.75" x14ac:dyDescent="0.25">
      <c r="G12" s="1">
        <v>0</v>
      </c>
      <c r="H12" s="1">
        <v>0</v>
      </c>
      <c r="I12" s="1">
        <v>0</v>
      </c>
      <c r="J12" s="1">
        <v>1</v>
      </c>
      <c r="N12">
        <v>1</v>
      </c>
      <c r="O12">
        <v>2</v>
      </c>
      <c r="S12">
        <v>0</v>
      </c>
      <c r="AE12">
        <v>0</v>
      </c>
      <c r="AF12">
        <v>2</v>
      </c>
      <c r="AM12">
        <v>0</v>
      </c>
      <c r="AN12">
        <v>2</v>
      </c>
    </row>
    <row r="13" spans="7:40" ht="27.75" x14ac:dyDescent="0.25">
      <c r="G13" s="1">
        <v>0</v>
      </c>
      <c r="H13" s="1">
        <v>0</v>
      </c>
      <c r="I13" s="1">
        <v>1</v>
      </c>
      <c r="J13" s="1">
        <v>0</v>
      </c>
      <c r="N13">
        <v>0</v>
      </c>
      <c r="O13">
        <v>2</v>
      </c>
      <c r="S13">
        <v>1</v>
      </c>
      <c r="AE13">
        <v>0</v>
      </c>
      <c r="AF13">
        <v>0</v>
      </c>
      <c r="AM13">
        <v>0</v>
      </c>
      <c r="AN13">
        <v>0</v>
      </c>
    </row>
    <row r="23" spans="3:23" x14ac:dyDescent="0.25">
      <c r="S23" t="e">
        <f>SQRT(SUM(PossibleStatesVector))</f>
        <v>#NAME?</v>
      </c>
    </row>
    <row r="26" spans="3:23" ht="27.75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3:23" ht="27.75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W27" t="s">
        <v>10</v>
      </c>
    </row>
    <row r="28" spans="3:23" ht="27.75" x14ac:dyDescent="0.25">
      <c r="C28" s="1"/>
      <c r="D28" s="1"/>
      <c r="E28" s="3">
        <v>0.35355339059327301</v>
      </c>
      <c r="F28" s="3">
        <v>0.35355339059327301</v>
      </c>
      <c r="G28" s="3">
        <v>0.35355339059327301</v>
      </c>
      <c r="H28" s="3">
        <v>0.35355339059327301</v>
      </c>
      <c r="I28" s="3">
        <v>0.35355339059327301</v>
      </c>
      <c r="J28" s="3">
        <v>0.35355339059327301</v>
      </c>
      <c r="K28" s="3">
        <v>0.35355339059327301</v>
      </c>
      <c r="L28" s="3">
        <v>0.35355339059327301</v>
      </c>
      <c r="M28" s="1"/>
      <c r="N28" s="1"/>
      <c r="O28" s="1"/>
      <c r="Q28" s="1">
        <v>0</v>
      </c>
      <c r="R28" s="1"/>
      <c r="S28" s="1">
        <v>0.35355339059327301</v>
      </c>
      <c r="T28" s="1">
        <f>S28^2</f>
        <v>0.12499999999999947</v>
      </c>
      <c r="U28">
        <f>T28</f>
        <v>0.12499999999999947</v>
      </c>
    </row>
    <row r="29" spans="3:23" ht="27.75" x14ac:dyDescent="0.25">
      <c r="C29" s="1"/>
      <c r="D29" s="1"/>
      <c r="E29" s="3">
        <v>0.35355339059327301</v>
      </c>
      <c r="F29" s="3">
        <v>-0.35355339059327301</v>
      </c>
      <c r="G29" s="3">
        <v>0.35355339059327301</v>
      </c>
      <c r="H29" s="3">
        <v>-0.35355339059327301</v>
      </c>
      <c r="I29" s="3">
        <v>0.35355339059327301</v>
      </c>
      <c r="J29" s="3">
        <v>-0.35355339059327301</v>
      </c>
      <c r="K29" s="3">
        <v>0.35355339059327301</v>
      </c>
      <c r="L29" s="3">
        <v>-0.35355339059327301</v>
      </c>
      <c r="M29" s="1"/>
      <c r="N29" s="1"/>
      <c r="O29" s="1"/>
      <c r="Q29" s="1">
        <v>0</v>
      </c>
      <c r="R29" s="1"/>
      <c r="S29" s="1">
        <v>-0.35355339059327301</v>
      </c>
      <c r="T29" s="1">
        <f t="shared" ref="T29:T35" si="0">S29^2</f>
        <v>0.12499999999999947</v>
      </c>
      <c r="U29">
        <f t="shared" ref="U29:U35" si="1">T29</f>
        <v>0.12499999999999947</v>
      </c>
    </row>
    <row r="30" spans="3:23" ht="27.75" x14ac:dyDescent="0.25">
      <c r="C30" s="1"/>
      <c r="D30" s="1"/>
      <c r="E30" s="3">
        <v>0.35355339059327301</v>
      </c>
      <c r="F30" s="3">
        <v>0.35355339059327301</v>
      </c>
      <c r="G30" s="3">
        <v>-0.35355339059327301</v>
      </c>
      <c r="H30" s="3">
        <v>-0.35355339059327301</v>
      </c>
      <c r="I30" s="3">
        <v>0.35355339059327301</v>
      </c>
      <c r="J30" s="3">
        <v>0.35355339059327301</v>
      </c>
      <c r="K30" s="3">
        <v>-0.35355339059327301</v>
      </c>
      <c r="L30" s="3">
        <v>-0.35355339059327301</v>
      </c>
      <c r="M30" s="1"/>
      <c r="N30" s="1"/>
      <c r="O30" s="1"/>
      <c r="Q30" s="1">
        <v>0</v>
      </c>
      <c r="R30" s="1"/>
      <c r="S30" s="1">
        <v>-0.35355339059327301</v>
      </c>
      <c r="T30" s="1">
        <f t="shared" si="0"/>
        <v>0.12499999999999947</v>
      </c>
      <c r="U30">
        <f t="shared" si="1"/>
        <v>0.12499999999999947</v>
      </c>
    </row>
    <row r="31" spans="3:23" ht="27.75" x14ac:dyDescent="0.25">
      <c r="C31" s="1"/>
      <c r="D31" s="1"/>
      <c r="E31" s="3">
        <v>0.35355339059327301</v>
      </c>
      <c r="F31" s="3">
        <v>-0.35355339059327301</v>
      </c>
      <c r="G31" s="3">
        <v>-0.35355339059327301</v>
      </c>
      <c r="H31" s="3">
        <v>0.35355339059327301</v>
      </c>
      <c r="I31" s="3">
        <v>0.35355339059327301</v>
      </c>
      <c r="J31" s="3">
        <v>-0.35355339059327301</v>
      </c>
      <c r="K31" s="3">
        <v>-0.35355339059327301</v>
      </c>
      <c r="L31" s="3">
        <v>0.35355339059327301</v>
      </c>
      <c r="M31" s="1"/>
      <c r="N31" s="1"/>
      <c r="O31" s="1"/>
      <c r="Q31" s="1">
        <v>1</v>
      </c>
      <c r="R31" s="1"/>
      <c r="S31" s="1">
        <v>0.35355339059327301</v>
      </c>
      <c r="T31" s="1">
        <f t="shared" si="0"/>
        <v>0.12499999999999947</v>
      </c>
      <c r="U31">
        <f t="shared" si="1"/>
        <v>0.12499999999999947</v>
      </c>
    </row>
    <row r="32" spans="3:23" ht="27.75" x14ac:dyDescent="0.25">
      <c r="C32" s="1"/>
      <c r="D32" s="1"/>
      <c r="E32" s="3">
        <v>0.35355339059327301</v>
      </c>
      <c r="F32" s="3">
        <v>0.35355339059327301</v>
      </c>
      <c r="G32" s="3">
        <v>0.35355339059327301</v>
      </c>
      <c r="H32" s="3">
        <v>0.35355339059327301</v>
      </c>
      <c r="I32" s="3">
        <v>-0.35355339059327301</v>
      </c>
      <c r="J32" s="3">
        <v>-0.35355339059327301</v>
      </c>
      <c r="K32" s="3">
        <v>-0.35355339059327301</v>
      </c>
      <c r="L32" s="3">
        <v>-0.35355339059327301</v>
      </c>
      <c r="M32" s="1"/>
      <c r="N32" s="1"/>
      <c r="O32" s="1"/>
      <c r="Q32" s="1">
        <v>0</v>
      </c>
      <c r="R32" s="1"/>
      <c r="S32" s="1">
        <v>0.35355339059327301</v>
      </c>
      <c r="T32" s="1">
        <f t="shared" si="0"/>
        <v>0.12499999999999947</v>
      </c>
      <c r="U32">
        <f t="shared" si="1"/>
        <v>0.12499999999999947</v>
      </c>
    </row>
    <row r="33" spans="3:34" ht="27.75" x14ac:dyDescent="0.25">
      <c r="C33" s="1"/>
      <c r="D33" s="1"/>
      <c r="E33" s="3">
        <v>0.35355339059327301</v>
      </c>
      <c r="F33" s="3">
        <v>-0.35355339059327301</v>
      </c>
      <c r="G33" s="3">
        <v>0.35355339059327301</v>
      </c>
      <c r="H33" s="3">
        <v>-0.35355339059327301</v>
      </c>
      <c r="I33" s="3">
        <v>-0.35355339059327301</v>
      </c>
      <c r="J33" s="3">
        <v>0.35355339059327301</v>
      </c>
      <c r="K33" s="3">
        <v>-0.35355339059327301</v>
      </c>
      <c r="L33" s="3">
        <v>0.35355339059327301</v>
      </c>
      <c r="M33" s="1"/>
      <c r="N33" s="1"/>
      <c r="O33" s="1"/>
      <c r="Q33" s="1">
        <v>0</v>
      </c>
      <c r="R33" s="1"/>
      <c r="S33" s="1">
        <v>-0.35355339059327301</v>
      </c>
      <c r="T33" s="1">
        <f t="shared" si="0"/>
        <v>0.12499999999999947</v>
      </c>
      <c r="U33">
        <f t="shared" si="1"/>
        <v>0.12499999999999947</v>
      </c>
    </row>
    <row r="34" spans="3:34" ht="27.75" x14ac:dyDescent="0.25">
      <c r="C34" s="1"/>
      <c r="D34" s="1"/>
      <c r="E34" s="3">
        <v>0.35355339059327301</v>
      </c>
      <c r="F34" s="3">
        <v>0.35355339059327301</v>
      </c>
      <c r="G34" s="3">
        <v>-0.35355339059327301</v>
      </c>
      <c r="H34" s="3">
        <v>-0.35355339059327301</v>
      </c>
      <c r="I34" s="3">
        <v>-0.35355339059327301</v>
      </c>
      <c r="J34" s="3">
        <v>-0.35355339059327301</v>
      </c>
      <c r="K34" s="3">
        <v>0.35355339059327301</v>
      </c>
      <c r="L34" s="3">
        <v>0.35355339059327301</v>
      </c>
      <c r="M34" s="1"/>
      <c r="N34" s="1"/>
      <c r="O34" s="1"/>
      <c r="Q34" s="1">
        <v>0</v>
      </c>
      <c r="R34" s="1"/>
      <c r="S34" s="1">
        <v>-0.35355339059327301</v>
      </c>
      <c r="T34" s="1">
        <f t="shared" si="0"/>
        <v>0.12499999999999947</v>
      </c>
      <c r="U34">
        <f t="shared" si="1"/>
        <v>0.12499999999999947</v>
      </c>
    </row>
    <row r="35" spans="3:34" ht="27.75" x14ac:dyDescent="0.25">
      <c r="C35" s="1"/>
      <c r="D35" s="1"/>
      <c r="E35" s="3">
        <v>0.35355339059327301</v>
      </c>
      <c r="F35" s="3">
        <v>-0.35355339059327301</v>
      </c>
      <c r="G35" s="3">
        <v>-0.35355339059327301</v>
      </c>
      <c r="H35" s="3">
        <v>0.35355339059327301</v>
      </c>
      <c r="I35" s="3">
        <v>-0.35355339059327301</v>
      </c>
      <c r="J35" s="3">
        <v>0.35355339059327301</v>
      </c>
      <c r="K35" s="3">
        <v>0.35355339059327301</v>
      </c>
      <c r="L35" s="3">
        <v>-0.35355339059327301</v>
      </c>
      <c r="M35" s="1"/>
      <c r="N35" s="1"/>
      <c r="O35" s="1"/>
      <c r="Q35" s="1">
        <v>0</v>
      </c>
      <c r="R35" s="1"/>
      <c r="S35" s="1">
        <v>0.35355339059327301</v>
      </c>
      <c r="T35" s="1">
        <f t="shared" si="0"/>
        <v>0.12499999999999947</v>
      </c>
      <c r="U35">
        <f t="shared" si="1"/>
        <v>0.12499999999999947</v>
      </c>
    </row>
    <row r="36" spans="3:34" ht="27.75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>
        <f>SUM(U28:U35)</f>
        <v>0.99999999999999567</v>
      </c>
    </row>
    <row r="37" spans="3:34" ht="27.75" x14ac:dyDescent="0.25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3:34" ht="27.75" x14ac:dyDescent="0.25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Y38">
        <f>SQRT(SUM(W40:W55))</f>
        <v>1.6817928305074272</v>
      </c>
    </row>
    <row r="39" spans="3:34" ht="27.75" x14ac:dyDescent="0.25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3:34" ht="27.75" x14ac:dyDescent="0.25">
      <c r="C40" s="1"/>
      <c r="D40" s="1"/>
      <c r="E40" s="3">
        <v>0.249999999999999</v>
      </c>
      <c r="F40" s="3">
        <v>0.249999999999999</v>
      </c>
      <c r="G40" s="3">
        <v>0.249999999999999</v>
      </c>
      <c r="H40" s="3">
        <v>0.249999999999999</v>
      </c>
      <c r="I40" s="3">
        <v>0.249999999999999</v>
      </c>
      <c r="J40" s="3">
        <v>0.249999999999999</v>
      </c>
      <c r="K40" s="3">
        <v>0.249999999999999</v>
      </c>
      <c r="L40" s="3">
        <v>0.249999999999999</v>
      </c>
      <c r="M40" s="3">
        <v>0.249999999999999</v>
      </c>
      <c r="N40" s="3">
        <v>0.249999999999999</v>
      </c>
      <c r="O40" s="3">
        <v>0.249999999999999</v>
      </c>
      <c r="P40" s="3">
        <v>0.249999999999999</v>
      </c>
      <c r="Q40" s="3">
        <v>0.249999999999999</v>
      </c>
      <c r="R40" s="3">
        <v>0.249999999999999</v>
      </c>
      <c r="S40" s="3">
        <v>0.249999999999999</v>
      </c>
      <c r="T40" s="3">
        <v>0.249999999999999</v>
      </c>
      <c r="W40">
        <v>0</v>
      </c>
      <c r="Y40">
        <v>0.70710678118654402</v>
      </c>
      <c r="Z40">
        <f>Y40</f>
        <v>0.70710678118654402</v>
      </c>
      <c r="AA40">
        <f>Z40^2</f>
        <v>0.49999999999999506</v>
      </c>
      <c r="AE40" s="3">
        <v>0</v>
      </c>
      <c r="AF40">
        <v>0</v>
      </c>
      <c r="AG40">
        <v>0</v>
      </c>
      <c r="AH40">
        <v>0</v>
      </c>
    </row>
    <row r="41" spans="3:34" ht="27.75" x14ac:dyDescent="0.25">
      <c r="C41" s="1"/>
      <c r="D41" s="1"/>
      <c r="E41" s="3">
        <v>0.249999999999999</v>
      </c>
      <c r="F41" s="3">
        <v>-0.249999999999999</v>
      </c>
      <c r="G41" s="3">
        <v>0.249999999999999</v>
      </c>
      <c r="H41" s="3">
        <v>-0.249999999999999</v>
      </c>
      <c r="I41" s="3">
        <v>0.249999999999999</v>
      </c>
      <c r="J41" s="3">
        <v>-0.249999999999999</v>
      </c>
      <c r="K41" s="3">
        <v>0.249999999999999</v>
      </c>
      <c r="L41" s="3">
        <v>-0.249999999999999</v>
      </c>
      <c r="M41" s="3">
        <v>0.249999999999999</v>
      </c>
      <c r="N41" s="3">
        <v>-0.249999999999999</v>
      </c>
      <c r="O41" s="3">
        <v>0.249999999999999</v>
      </c>
      <c r="P41" s="3">
        <v>-0.249999999999999</v>
      </c>
      <c r="Q41" s="3">
        <v>0.249999999999999</v>
      </c>
      <c r="R41" s="3">
        <v>-0.249999999999999</v>
      </c>
      <c r="S41" s="3">
        <v>0.249999999999999</v>
      </c>
      <c r="T41" s="3">
        <v>-0.249999999999999</v>
      </c>
      <c r="W41" s="7">
        <v>0.35355339059327301</v>
      </c>
      <c r="Y41" s="7">
        <v>0</v>
      </c>
      <c r="Z41">
        <f t="shared" ref="Z41:Z55" si="2">Y41</f>
        <v>0</v>
      </c>
      <c r="AA41">
        <f t="shared" ref="AA41:AA55" si="3">Z41^2</f>
        <v>0</v>
      </c>
      <c r="AE41" s="3">
        <v>0.35355339059327301</v>
      </c>
      <c r="AF41" s="7">
        <v>0.35355339059327301</v>
      </c>
      <c r="AG41" s="7">
        <v>0.35355339059327301</v>
      </c>
      <c r="AH41" s="7">
        <v>0.35355339059327301</v>
      </c>
    </row>
    <row r="42" spans="3:34" ht="27.75" x14ac:dyDescent="0.25">
      <c r="C42" s="1"/>
      <c r="D42" s="1"/>
      <c r="E42" s="3">
        <v>0.249999999999999</v>
      </c>
      <c r="F42" s="3">
        <v>0.249999999999999</v>
      </c>
      <c r="G42" s="3">
        <v>-0.249999999999999</v>
      </c>
      <c r="H42" s="3">
        <v>-0.249999999999999</v>
      </c>
      <c r="I42" s="3">
        <v>0.249999999999999</v>
      </c>
      <c r="J42" s="3">
        <v>0.249999999999999</v>
      </c>
      <c r="K42" s="3">
        <v>-0.249999999999999</v>
      </c>
      <c r="L42" s="3">
        <v>-0.249999999999999</v>
      </c>
      <c r="M42" s="3">
        <v>0.249999999999999</v>
      </c>
      <c r="N42" s="3">
        <v>0.249999999999999</v>
      </c>
      <c r="O42" s="3">
        <v>-0.249999999999999</v>
      </c>
      <c r="P42" s="3">
        <v>-0.249999999999999</v>
      </c>
      <c r="Q42" s="3">
        <v>0.249999999999999</v>
      </c>
      <c r="R42" s="3">
        <v>0.249999999999999</v>
      </c>
      <c r="S42" s="3">
        <v>-0.249999999999999</v>
      </c>
      <c r="T42" s="3">
        <v>-0.249999999999999</v>
      </c>
      <c r="W42">
        <v>0.35355339059327301</v>
      </c>
      <c r="Y42">
        <v>0</v>
      </c>
      <c r="Z42">
        <f t="shared" si="2"/>
        <v>0</v>
      </c>
      <c r="AA42">
        <f t="shared" si="3"/>
        <v>0</v>
      </c>
      <c r="AE42" s="3">
        <v>0</v>
      </c>
      <c r="AF42">
        <v>0.35355339059327301</v>
      </c>
      <c r="AG42">
        <v>0.35355339059327301</v>
      </c>
      <c r="AH42">
        <v>0.35355339059327301</v>
      </c>
    </row>
    <row r="43" spans="3:34" ht="27.75" x14ac:dyDescent="0.25">
      <c r="C43" s="1"/>
      <c r="D43" s="1"/>
      <c r="E43" s="3">
        <v>0.249999999999999</v>
      </c>
      <c r="F43" s="3">
        <v>-0.249999999999999</v>
      </c>
      <c r="G43" s="3">
        <v>-0.249999999999999</v>
      </c>
      <c r="H43" s="3">
        <v>0.249999999999999</v>
      </c>
      <c r="I43" s="3">
        <v>0.249999999999999</v>
      </c>
      <c r="J43" s="3">
        <v>-0.249999999999999</v>
      </c>
      <c r="K43" s="3">
        <v>-0.249999999999999</v>
      </c>
      <c r="L43" s="3">
        <v>0.249999999999999</v>
      </c>
      <c r="M43" s="3">
        <v>0.249999999999999</v>
      </c>
      <c r="N43" s="3">
        <v>-0.249999999999999</v>
      </c>
      <c r="O43" s="3">
        <v>-0.249999999999999</v>
      </c>
      <c r="P43" s="3">
        <v>0.249999999999999</v>
      </c>
      <c r="Q43" s="3">
        <v>0.249999999999999</v>
      </c>
      <c r="R43" s="3">
        <v>-0.249999999999999</v>
      </c>
      <c r="S43" s="3">
        <v>-0.249999999999999</v>
      </c>
      <c r="T43" s="3">
        <v>0.249999999999999</v>
      </c>
      <c r="W43">
        <v>0</v>
      </c>
      <c r="Y43" s="7">
        <v>1.94289029309402E-16</v>
      </c>
      <c r="Z43">
        <f t="shared" si="2"/>
        <v>1.94289029309402E-16</v>
      </c>
      <c r="AA43">
        <f t="shared" si="3"/>
        <v>3.7748226909989669E-32</v>
      </c>
      <c r="AE43" s="3">
        <v>0.35355339059327301</v>
      </c>
      <c r="AF43">
        <v>0</v>
      </c>
      <c r="AG43">
        <v>0</v>
      </c>
      <c r="AH43">
        <v>0</v>
      </c>
    </row>
    <row r="44" spans="3:34" ht="27.75" x14ac:dyDescent="0.25">
      <c r="E44" s="3">
        <v>0.249999999999999</v>
      </c>
      <c r="F44" s="3">
        <v>0.249999999999999</v>
      </c>
      <c r="G44" s="3">
        <v>0.249999999999999</v>
      </c>
      <c r="H44" s="3">
        <v>0.249999999999999</v>
      </c>
      <c r="I44" s="3">
        <v>-0.249999999999999</v>
      </c>
      <c r="J44" s="3">
        <v>-0.249999999999999</v>
      </c>
      <c r="K44" s="3">
        <v>-0.249999999999999</v>
      </c>
      <c r="L44" s="3">
        <v>-0.249999999999999</v>
      </c>
      <c r="M44" s="3">
        <v>0.249999999999999</v>
      </c>
      <c r="N44" s="3">
        <v>0.249999999999999</v>
      </c>
      <c r="O44" s="3">
        <v>0.249999999999999</v>
      </c>
      <c r="P44" s="3">
        <v>0.249999999999999</v>
      </c>
      <c r="Q44" s="3">
        <v>-0.249999999999999</v>
      </c>
      <c r="R44" s="3">
        <v>-0.249999999999999</v>
      </c>
      <c r="S44" s="3">
        <v>-0.249999999999999</v>
      </c>
      <c r="T44" s="3">
        <v>-0.249999999999999</v>
      </c>
      <c r="W44" s="7">
        <v>0.35355339059327301</v>
      </c>
      <c r="Y44" s="7">
        <v>1.94289029309402E-16</v>
      </c>
      <c r="Z44">
        <f t="shared" si="2"/>
        <v>1.94289029309402E-16</v>
      </c>
      <c r="AA44">
        <f t="shared" si="3"/>
        <v>3.7748226909989669E-32</v>
      </c>
      <c r="AE44" s="3">
        <v>0</v>
      </c>
      <c r="AF44" s="7">
        <v>0</v>
      </c>
      <c r="AG44" s="7">
        <v>0.35355339059327301</v>
      </c>
      <c r="AH44" s="7">
        <v>0.35355339059327301</v>
      </c>
    </row>
    <row r="45" spans="3:34" ht="27.75" x14ac:dyDescent="0.25">
      <c r="E45" s="3">
        <v>0.249999999999999</v>
      </c>
      <c r="F45" s="3">
        <v>-0.249999999999999</v>
      </c>
      <c r="G45" s="3">
        <v>0.249999999999999</v>
      </c>
      <c r="H45" s="3">
        <v>-0.249999999999999</v>
      </c>
      <c r="I45" s="3">
        <v>-0.249999999999999</v>
      </c>
      <c r="J45" s="3">
        <v>0.249999999999999</v>
      </c>
      <c r="K45" s="3">
        <v>-0.249999999999999</v>
      </c>
      <c r="L45" s="3">
        <v>0.249999999999999</v>
      </c>
      <c r="M45" s="3">
        <v>0.249999999999999</v>
      </c>
      <c r="N45" s="3">
        <v>-0.249999999999999</v>
      </c>
      <c r="O45" s="3">
        <v>0.249999999999999</v>
      </c>
      <c r="P45" s="3">
        <v>-0.249999999999999</v>
      </c>
      <c r="Q45" s="3">
        <v>-0.249999999999999</v>
      </c>
      <c r="R45" s="3">
        <v>0.249999999999999</v>
      </c>
      <c r="S45" s="3">
        <v>-0.249999999999999</v>
      </c>
      <c r="T45" s="3">
        <v>0.249999999999999</v>
      </c>
      <c r="W45" s="7">
        <v>0</v>
      </c>
      <c r="Y45" s="7">
        <v>0</v>
      </c>
      <c r="Z45">
        <f t="shared" si="2"/>
        <v>0</v>
      </c>
      <c r="AA45">
        <f t="shared" si="3"/>
        <v>0</v>
      </c>
      <c r="AE45" s="3">
        <v>0.35355339059327301</v>
      </c>
      <c r="AF45" s="7">
        <v>0.35355339059327301</v>
      </c>
      <c r="AG45" s="7">
        <v>0</v>
      </c>
      <c r="AH45" s="7">
        <v>0</v>
      </c>
    </row>
    <row r="46" spans="3:34" ht="27.75" x14ac:dyDescent="0.25">
      <c r="E46" s="3">
        <v>0.249999999999999</v>
      </c>
      <c r="F46" s="3">
        <v>0.249999999999999</v>
      </c>
      <c r="G46" s="3">
        <v>-0.249999999999999</v>
      </c>
      <c r="H46" s="3">
        <v>-0.249999999999999</v>
      </c>
      <c r="I46" s="3">
        <v>-0.249999999999999</v>
      </c>
      <c r="J46" s="3">
        <v>-0.249999999999999</v>
      </c>
      <c r="K46" s="3">
        <v>0.249999999999999</v>
      </c>
      <c r="L46" s="3">
        <v>0.249999999999999</v>
      </c>
      <c r="M46" s="3">
        <v>0.249999999999999</v>
      </c>
      <c r="N46" s="3">
        <v>0.249999999999999</v>
      </c>
      <c r="O46" s="3">
        <v>-0.249999999999999</v>
      </c>
      <c r="P46" s="3">
        <v>-0.249999999999999</v>
      </c>
      <c r="Q46" s="3">
        <v>-0.249999999999999</v>
      </c>
      <c r="R46" s="3">
        <v>-0.249999999999999</v>
      </c>
      <c r="S46" s="3">
        <v>0.249999999999999</v>
      </c>
      <c r="T46" s="3">
        <v>0.249999999999999</v>
      </c>
      <c r="W46">
        <v>0</v>
      </c>
      <c r="Y46">
        <v>0</v>
      </c>
      <c r="Z46">
        <f t="shared" si="2"/>
        <v>0</v>
      </c>
      <c r="AA46">
        <f t="shared" si="3"/>
        <v>0</v>
      </c>
      <c r="AE46" s="3">
        <v>0</v>
      </c>
      <c r="AF46">
        <v>0.35355339059327301</v>
      </c>
      <c r="AG46">
        <v>0</v>
      </c>
      <c r="AH46">
        <v>0</v>
      </c>
    </row>
    <row r="47" spans="3:34" ht="27.75" x14ac:dyDescent="0.25">
      <c r="E47" s="3">
        <v>0.249999999999999</v>
      </c>
      <c r="F47" s="3">
        <v>-0.249999999999999</v>
      </c>
      <c r="G47" s="3">
        <v>-0.249999999999999</v>
      </c>
      <c r="H47" s="3">
        <v>0.249999999999999</v>
      </c>
      <c r="I47" s="3">
        <v>-0.249999999999999</v>
      </c>
      <c r="J47" s="3">
        <v>0.249999999999999</v>
      </c>
      <c r="K47" s="3">
        <v>0.249999999999999</v>
      </c>
      <c r="L47" s="3">
        <v>-0.249999999999999</v>
      </c>
      <c r="M47" s="3">
        <v>0.249999999999999</v>
      </c>
      <c r="N47" s="3">
        <v>-0.249999999999999</v>
      </c>
      <c r="O47" s="3">
        <v>-0.249999999999999</v>
      </c>
      <c r="P47" s="3">
        <v>0.249999999999999</v>
      </c>
      <c r="Q47" s="3">
        <v>-0.249999999999999</v>
      </c>
      <c r="R47" s="3">
        <v>0.249999999999999</v>
      </c>
      <c r="S47" s="3">
        <v>0.249999999999999</v>
      </c>
      <c r="T47" s="3">
        <v>-0.249999999999999</v>
      </c>
      <c r="W47">
        <v>0.35355339059327301</v>
      </c>
      <c r="Y47" s="7">
        <v>-1.94289029309402E-16</v>
      </c>
      <c r="Z47">
        <f t="shared" si="2"/>
        <v>-1.94289029309402E-16</v>
      </c>
      <c r="AA47">
        <f t="shared" si="3"/>
        <v>3.7748226909989669E-32</v>
      </c>
      <c r="AE47" s="3">
        <v>0.35355339059327301</v>
      </c>
      <c r="AF47">
        <v>0</v>
      </c>
      <c r="AG47">
        <v>0.35355339059327301</v>
      </c>
      <c r="AH47">
        <v>0.35355339059327301</v>
      </c>
    </row>
    <row r="48" spans="3:34" ht="27.75" x14ac:dyDescent="0.25">
      <c r="E48" s="3">
        <v>0.249999999999999</v>
      </c>
      <c r="F48" s="3">
        <v>0.249999999999999</v>
      </c>
      <c r="G48" s="3">
        <v>0.249999999999999</v>
      </c>
      <c r="H48" s="3">
        <v>0.249999999999999</v>
      </c>
      <c r="I48" s="3">
        <v>0.249999999999999</v>
      </c>
      <c r="J48" s="3">
        <v>0.249999999999999</v>
      </c>
      <c r="K48" s="3">
        <v>0.249999999999999</v>
      </c>
      <c r="L48" s="3">
        <v>0.249999999999999</v>
      </c>
      <c r="M48" s="3">
        <v>-0.249999999999999</v>
      </c>
      <c r="N48" s="3">
        <v>-0.249999999999999</v>
      </c>
      <c r="O48" s="3">
        <v>-0.249999999999999</v>
      </c>
      <c r="P48" s="3">
        <v>-0.249999999999999</v>
      </c>
      <c r="Q48" s="3">
        <v>-0.249999999999999</v>
      </c>
      <c r="R48" s="3">
        <v>-0.249999999999999</v>
      </c>
      <c r="S48" s="3">
        <v>-0.249999999999999</v>
      </c>
      <c r="T48" s="3">
        <v>-0.249999999999999</v>
      </c>
      <c r="W48" s="7">
        <v>0.35355339059327301</v>
      </c>
      <c r="Y48" s="7">
        <v>1.94289029309402E-16</v>
      </c>
      <c r="Z48">
        <f t="shared" si="2"/>
        <v>1.94289029309402E-16</v>
      </c>
      <c r="AA48">
        <f t="shared" si="3"/>
        <v>3.7748226909989669E-32</v>
      </c>
      <c r="AE48" s="3">
        <v>0</v>
      </c>
      <c r="AF48" s="7">
        <v>0</v>
      </c>
      <c r="AG48" s="7">
        <v>0</v>
      </c>
      <c r="AH48" s="7">
        <v>0.35355339059327301</v>
      </c>
    </row>
    <row r="49" spans="5:34" ht="27.75" x14ac:dyDescent="0.25">
      <c r="E49" s="3">
        <v>0.249999999999999</v>
      </c>
      <c r="F49" s="3">
        <v>-0.249999999999999</v>
      </c>
      <c r="G49" s="3">
        <v>0.249999999999999</v>
      </c>
      <c r="H49" s="3">
        <v>-0.249999999999999</v>
      </c>
      <c r="I49" s="3">
        <v>0.249999999999999</v>
      </c>
      <c r="J49" s="3">
        <v>-0.249999999999999</v>
      </c>
      <c r="K49" s="3">
        <v>0.249999999999999</v>
      </c>
      <c r="L49" s="3">
        <v>-0.249999999999999</v>
      </c>
      <c r="M49" s="3">
        <v>-0.249999999999999</v>
      </c>
      <c r="N49" s="3">
        <v>0.249999999999999</v>
      </c>
      <c r="O49" s="3">
        <v>-0.249999999999999</v>
      </c>
      <c r="P49" s="3">
        <v>0.249999999999999</v>
      </c>
      <c r="Q49" s="3">
        <v>-0.249999999999999</v>
      </c>
      <c r="R49" s="3">
        <v>0.249999999999999</v>
      </c>
      <c r="S49" s="3">
        <v>-0.249999999999999</v>
      </c>
      <c r="T49" s="3">
        <v>0.249999999999999</v>
      </c>
      <c r="W49" s="7">
        <v>0</v>
      </c>
      <c r="Y49" s="7">
        <v>0</v>
      </c>
      <c r="Z49">
        <f t="shared" si="2"/>
        <v>0</v>
      </c>
      <c r="AA49">
        <f t="shared" si="3"/>
        <v>0</v>
      </c>
      <c r="AE49" s="3">
        <v>0.35355339059327301</v>
      </c>
      <c r="AF49" s="7">
        <v>0.35355339059327301</v>
      </c>
      <c r="AG49" s="7">
        <v>0.35355339059327301</v>
      </c>
      <c r="AH49" s="7">
        <v>0</v>
      </c>
    </row>
    <row r="50" spans="5:34" ht="27.75" x14ac:dyDescent="0.25">
      <c r="E50" s="3">
        <v>0.249999999999999</v>
      </c>
      <c r="F50" s="3">
        <v>0.249999999999999</v>
      </c>
      <c r="G50" s="3">
        <v>-0.249999999999999</v>
      </c>
      <c r="H50" s="3">
        <v>-0.249999999999999</v>
      </c>
      <c r="I50" s="3">
        <v>0.249999999999999</v>
      </c>
      <c r="J50" s="3">
        <v>0.249999999999999</v>
      </c>
      <c r="K50" s="3">
        <v>-0.249999999999999</v>
      </c>
      <c r="L50" s="3">
        <v>-0.249999999999999</v>
      </c>
      <c r="M50" s="3">
        <v>-0.249999999999999</v>
      </c>
      <c r="N50" s="3">
        <v>-0.249999999999999</v>
      </c>
      <c r="O50" s="3">
        <v>0.249999999999999</v>
      </c>
      <c r="P50" s="3">
        <v>0.249999999999999</v>
      </c>
      <c r="Q50" s="3">
        <v>-0.249999999999999</v>
      </c>
      <c r="R50" s="3">
        <v>-0.249999999999999</v>
      </c>
      <c r="S50" s="3">
        <v>0.249999999999999</v>
      </c>
      <c r="T50" s="3">
        <v>0.249999999999999</v>
      </c>
      <c r="W50">
        <v>0</v>
      </c>
      <c r="Y50">
        <v>0</v>
      </c>
      <c r="Z50">
        <f t="shared" si="2"/>
        <v>0</v>
      </c>
      <c r="AA50">
        <f t="shared" si="3"/>
        <v>0</v>
      </c>
      <c r="AE50" s="3">
        <v>0</v>
      </c>
      <c r="AF50">
        <v>0.35355339059327301</v>
      </c>
      <c r="AG50">
        <v>0.35355339059327301</v>
      </c>
      <c r="AH50">
        <v>0</v>
      </c>
    </row>
    <row r="51" spans="5:34" ht="27.75" x14ac:dyDescent="0.25">
      <c r="E51" s="3">
        <v>0.249999999999999</v>
      </c>
      <c r="F51" s="3">
        <v>-0.249999999999999</v>
      </c>
      <c r="G51" s="3">
        <v>-0.249999999999999</v>
      </c>
      <c r="H51" s="3">
        <v>0.249999999999999</v>
      </c>
      <c r="I51" s="3">
        <v>0.249999999999999</v>
      </c>
      <c r="J51" s="3">
        <v>-0.249999999999999</v>
      </c>
      <c r="K51" s="3">
        <v>-0.249999999999999</v>
      </c>
      <c r="L51" s="3">
        <v>0.249999999999999</v>
      </c>
      <c r="M51" s="3">
        <v>-0.249999999999999</v>
      </c>
      <c r="N51" s="3">
        <v>0.249999999999999</v>
      </c>
      <c r="O51" s="3">
        <v>0.249999999999999</v>
      </c>
      <c r="P51" s="3">
        <v>-0.249999999999999</v>
      </c>
      <c r="Q51" s="3">
        <v>-0.249999999999999</v>
      </c>
      <c r="R51" s="3">
        <v>0.249999999999999</v>
      </c>
      <c r="S51" s="3">
        <v>0.249999999999999</v>
      </c>
      <c r="T51" s="3">
        <v>-0.249999999999999</v>
      </c>
      <c r="W51">
        <v>0.35355339059327301</v>
      </c>
      <c r="Y51" s="7">
        <v>-1.94289029309402E-16</v>
      </c>
      <c r="Z51">
        <f t="shared" si="2"/>
        <v>-1.94289029309402E-16</v>
      </c>
      <c r="AA51">
        <f t="shared" si="3"/>
        <v>3.7748226909989669E-32</v>
      </c>
      <c r="AE51" s="3">
        <v>0.35355339059327301</v>
      </c>
      <c r="AF51">
        <v>0</v>
      </c>
      <c r="AG51">
        <v>0</v>
      </c>
      <c r="AH51">
        <v>0.35355339059327301</v>
      </c>
    </row>
    <row r="52" spans="5:34" ht="27.75" x14ac:dyDescent="0.25">
      <c r="E52" s="3">
        <v>0.249999999999999</v>
      </c>
      <c r="F52" s="3">
        <v>0.249999999999999</v>
      </c>
      <c r="G52" s="3">
        <v>0.249999999999999</v>
      </c>
      <c r="H52" s="3">
        <v>0.249999999999999</v>
      </c>
      <c r="I52" s="3">
        <v>-0.249999999999999</v>
      </c>
      <c r="J52" s="3">
        <v>-0.249999999999999</v>
      </c>
      <c r="K52" s="3">
        <v>-0.249999999999999</v>
      </c>
      <c r="L52" s="3">
        <v>-0.249999999999999</v>
      </c>
      <c r="M52" s="3">
        <v>-0.249999999999999</v>
      </c>
      <c r="N52" s="3">
        <v>-0.249999999999999</v>
      </c>
      <c r="O52" s="3">
        <v>-0.249999999999999</v>
      </c>
      <c r="P52" s="3">
        <v>-0.249999999999999</v>
      </c>
      <c r="Q52" s="3">
        <v>0.249999999999999</v>
      </c>
      <c r="R52" s="3">
        <v>0.249999999999999</v>
      </c>
      <c r="S52" s="3">
        <v>0.249999999999999</v>
      </c>
      <c r="T52" s="3">
        <v>0.249999999999999</v>
      </c>
      <c r="W52" s="7">
        <v>0</v>
      </c>
      <c r="Y52" s="7">
        <v>-1.94289029309402E-16</v>
      </c>
      <c r="Z52">
        <f t="shared" si="2"/>
        <v>-1.94289029309402E-16</v>
      </c>
      <c r="AA52">
        <f t="shared" si="3"/>
        <v>3.7748226909989669E-32</v>
      </c>
      <c r="AE52" s="3">
        <v>0</v>
      </c>
      <c r="AF52" s="7">
        <v>0</v>
      </c>
      <c r="AG52" s="7">
        <v>0.35355339059327301</v>
      </c>
      <c r="AH52" s="7">
        <v>0</v>
      </c>
    </row>
    <row r="53" spans="5:34" ht="27.75" x14ac:dyDescent="0.25">
      <c r="E53" s="3">
        <v>0.249999999999999</v>
      </c>
      <c r="F53" s="3">
        <v>-0.249999999999999</v>
      </c>
      <c r="G53" s="3">
        <v>0.249999999999999</v>
      </c>
      <c r="H53" s="3">
        <v>-0.249999999999999</v>
      </c>
      <c r="I53" s="3">
        <v>-0.249999999999999</v>
      </c>
      <c r="J53" s="3">
        <v>0.249999999999999</v>
      </c>
      <c r="K53" s="3">
        <v>-0.249999999999999</v>
      </c>
      <c r="L53" s="3">
        <v>0.249999999999999</v>
      </c>
      <c r="M53" s="3">
        <v>-0.249999999999999</v>
      </c>
      <c r="N53" s="3">
        <v>0.249999999999999</v>
      </c>
      <c r="O53" s="3">
        <v>-0.249999999999999</v>
      </c>
      <c r="P53" s="3">
        <v>0.249999999999999</v>
      </c>
      <c r="Q53" s="3">
        <v>0.249999999999999</v>
      </c>
      <c r="R53" s="3">
        <v>-0.249999999999999</v>
      </c>
      <c r="S53" s="3">
        <v>0.249999999999999</v>
      </c>
      <c r="T53" s="3">
        <v>-0.249999999999999</v>
      </c>
      <c r="W53">
        <v>0.35355339059327301</v>
      </c>
      <c r="Y53">
        <v>0</v>
      </c>
      <c r="Z53">
        <f t="shared" si="2"/>
        <v>0</v>
      </c>
      <c r="AA53">
        <f t="shared" si="3"/>
        <v>0</v>
      </c>
      <c r="AE53" s="3">
        <v>0.35355339059327301</v>
      </c>
      <c r="AF53">
        <v>0.35355339059327301</v>
      </c>
      <c r="AG53">
        <v>0</v>
      </c>
      <c r="AH53">
        <v>0.35355339059327301</v>
      </c>
    </row>
    <row r="54" spans="5:34" ht="27.75" x14ac:dyDescent="0.25">
      <c r="E54" s="3">
        <v>0.249999999999999</v>
      </c>
      <c r="F54" s="3">
        <v>0.249999999999999</v>
      </c>
      <c r="G54" s="3">
        <v>-0.249999999999999</v>
      </c>
      <c r="H54" s="3">
        <v>-0.249999999999999</v>
      </c>
      <c r="I54" s="3">
        <v>-0.249999999999999</v>
      </c>
      <c r="J54" s="3">
        <v>-0.249999999999999</v>
      </c>
      <c r="K54" s="3">
        <v>0.249999999999999</v>
      </c>
      <c r="L54" s="3">
        <v>0.249999999999999</v>
      </c>
      <c r="M54" s="3">
        <v>-0.249999999999999</v>
      </c>
      <c r="N54" s="3">
        <v>-0.249999999999999</v>
      </c>
      <c r="O54" s="3">
        <v>0.249999999999999</v>
      </c>
      <c r="P54" s="3">
        <v>0.249999999999999</v>
      </c>
      <c r="Q54" s="3">
        <v>0.249999999999999</v>
      </c>
      <c r="R54" s="3">
        <v>0.249999999999999</v>
      </c>
      <c r="S54" s="3">
        <v>-0.249999999999999</v>
      </c>
      <c r="T54" s="3">
        <v>-0.249999999999999</v>
      </c>
      <c r="W54">
        <v>0.35355339059327301</v>
      </c>
      <c r="Y54">
        <v>0</v>
      </c>
      <c r="Z54">
        <f t="shared" si="2"/>
        <v>0</v>
      </c>
      <c r="AA54">
        <f t="shared" si="3"/>
        <v>0</v>
      </c>
      <c r="AE54" s="3">
        <v>0</v>
      </c>
      <c r="AF54">
        <v>0.35355339059327301</v>
      </c>
      <c r="AG54">
        <v>0</v>
      </c>
      <c r="AH54">
        <v>0.35355339059327301</v>
      </c>
    </row>
    <row r="55" spans="5:34" ht="27.75" x14ac:dyDescent="0.25">
      <c r="E55" s="3">
        <v>0.249999999999999</v>
      </c>
      <c r="F55" s="3">
        <v>-0.249999999999999</v>
      </c>
      <c r="G55" s="3">
        <v>-0.249999999999999</v>
      </c>
      <c r="H55" s="3">
        <v>0.249999999999999</v>
      </c>
      <c r="I55" s="3">
        <v>-0.249999999999999</v>
      </c>
      <c r="J55" s="3">
        <v>0.249999999999999</v>
      </c>
      <c r="K55" s="3">
        <v>0.249999999999999</v>
      </c>
      <c r="L55" s="3">
        <v>-0.249999999999999</v>
      </c>
      <c r="M55" s="3">
        <v>-0.249999999999999</v>
      </c>
      <c r="N55" s="3">
        <v>0.249999999999999</v>
      </c>
      <c r="O55" s="3">
        <v>0.249999999999999</v>
      </c>
      <c r="P55" s="3">
        <v>-0.249999999999999</v>
      </c>
      <c r="Q55" s="3">
        <v>0.249999999999999</v>
      </c>
      <c r="R55" s="3">
        <v>-0.249999999999999</v>
      </c>
      <c r="S55" s="3">
        <v>-0.249999999999999</v>
      </c>
      <c r="T55" s="3">
        <v>0.249999999999999</v>
      </c>
      <c r="W55">
        <v>0</v>
      </c>
      <c r="Y55">
        <v>-0.70710678118654402</v>
      </c>
      <c r="Z55">
        <f t="shared" si="2"/>
        <v>-0.70710678118654402</v>
      </c>
      <c r="AA55">
        <f t="shared" si="3"/>
        <v>0.49999999999999506</v>
      </c>
      <c r="AB55" t="s">
        <v>6</v>
      </c>
      <c r="AE55" s="3">
        <v>0.35355339059327301</v>
      </c>
      <c r="AF55">
        <v>0</v>
      </c>
      <c r="AG55">
        <v>0.35355339059327301</v>
      </c>
      <c r="AH55">
        <v>0</v>
      </c>
    </row>
    <row r="56" spans="5:34" x14ac:dyDescent="0.25">
      <c r="AA56">
        <f>SUM(AA40:AA55)</f>
        <v>0.99999999999999012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reeQubitArray">
                <anchor moveWithCells="1" sizeWithCells="1">
                  <from>
                    <xdr:col>6</xdr:col>
                    <xdr:colOff>0</xdr:colOff>
                    <xdr:row>19</xdr:row>
                    <xdr:rowOff>180975</xdr:rowOff>
                  </from>
                  <to>
                    <xdr:col>10</xdr:col>
                    <xdr:colOff>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urQubitarray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10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isplayStates">
                <anchor moveWithCells="1" sizeWithCells="1">
                  <from>
                    <xdr:col>15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woQubitArray">
                <anchor moveWithCells="1" sizeWithCells="1">
                  <from>
                    <xdr:col>6</xdr:col>
                    <xdr:colOff>9525</xdr:colOff>
                    <xdr:row>1</xdr:row>
                    <xdr:rowOff>190500</xdr:rowOff>
                  </from>
                  <to>
                    <xdr:col>10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InitialiseNamesPMAMOM">
                <anchor moveWithCells="1" sizeWithCells="1">
                  <from>
                    <xdr:col>1</xdr:col>
                    <xdr:colOff>685800</xdr:colOff>
                    <xdr:row>1</xdr:row>
                    <xdr:rowOff>152400</xdr:rowOff>
                  </from>
                  <to>
                    <xdr:col>4</xdr:col>
                    <xdr:colOff>400050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I13:ET28"/>
  <sheetViews>
    <sheetView tabSelected="1" topLeftCell="AN1" zoomScaleNormal="100" workbookViewId="0">
      <selection activeCell="AX13" sqref="AX13"/>
    </sheetView>
  </sheetViews>
  <sheetFormatPr defaultRowHeight="15" x14ac:dyDescent="0.25"/>
  <sheetData>
    <row r="13" spans="9:49" x14ac:dyDescent="0.25">
      <c r="I13">
        <v>0.499999999999999</v>
      </c>
      <c r="S13">
        <v>-0.499999999999999</v>
      </c>
      <c r="AC13">
        <v>-0.499999999999999</v>
      </c>
      <c r="AM13">
        <v>-0.499999999999999</v>
      </c>
      <c r="AW13">
        <v>0</v>
      </c>
    </row>
    <row r="14" spans="9:49" x14ac:dyDescent="0.25">
      <c r="I14">
        <v>0.499999999999999</v>
      </c>
      <c r="S14">
        <v>-0.499999999999999</v>
      </c>
      <c r="AC14">
        <v>0.499999999999999</v>
      </c>
      <c r="AM14">
        <v>0.499999999999999</v>
      </c>
      <c r="AW14">
        <v>0</v>
      </c>
    </row>
    <row r="15" spans="9:49" x14ac:dyDescent="0.25">
      <c r="I15">
        <v>-0.499999999999999</v>
      </c>
      <c r="S15">
        <v>0.499999999999999</v>
      </c>
      <c r="AC15">
        <v>0.499999999999999</v>
      </c>
      <c r="AM15">
        <v>0.499999999999999</v>
      </c>
      <c r="AW15">
        <v>0</v>
      </c>
    </row>
    <row r="16" spans="9:49" x14ac:dyDescent="0.25">
      <c r="I16">
        <v>-0.499999999999999</v>
      </c>
      <c r="S16">
        <v>0.499999999999999</v>
      </c>
      <c r="AC16">
        <v>-0.499999999999999</v>
      </c>
      <c r="AM16">
        <v>-0.499999999999999</v>
      </c>
      <c r="AW16" s="7">
        <v>-0.999999999999996</v>
      </c>
    </row>
    <row r="17" spans="20:150" x14ac:dyDescent="0.25">
      <c r="AW17" s="7"/>
    </row>
    <row r="19" spans="20:150" x14ac:dyDescent="0.25">
      <c r="ET19" s="7"/>
    </row>
    <row r="20" spans="20:150" x14ac:dyDescent="0.25">
      <c r="AW20" s="7"/>
    </row>
    <row r="21" spans="20:150" x14ac:dyDescent="0.25">
      <c r="AW21" s="7"/>
    </row>
    <row r="24" spans="20:150" x14ac:dyDescent="0.25">
      <c r="T24" s="7"/>
      <c r="AW24" s="7"/>
    </row>
    <row r="25" spans="20:150" x14ac:dyDescent="0.25">
      <c r="AW25" s="7"/>
    </row>
    <row r="28" spans="20:150" x14ac:dyDescent="0.25">
      <c r="T28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RoughWorking">
                <anchor moveWithCells="1" siz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unCalculateProbabilities">
                <anchor moveWithCells="1" sizeWithCells="1">
                  <from>
                    <xdr:col>1</xdr:col>
                    <xdr:colOff>114300</xdr:colOff>
                    <xdr:row>0</xdr:row>
                    <xdr:rowOff>0</xdr:rowOff>
                  </from>
                  <to>
                    <xdr:col>5</xdr:col>
                    <xdr:colOff>190500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topLeftCell="A19" workbookViewId="0">
      <selection activeCell="L5" sqref="L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J13:M16"/>
  <sheetViews>
    <sheetView zoomScale="25" zoomScaleNormal="25" workbookViewId="0">
      <selection activeCell="J17" sqref="J17"/>
    </sheetView>
  </sheetViews>
  <sheetFormatPr defaultRowHeight="15" x14ac:dyDescent="0.25"/>
  <sheetData>
    <row r="13" spans="10:13" x14ac:dyDescent="0.25">
      <c r="J13">
        <v>0.499999999999999</v>
      </c>
      <c r="K13">
        <v>0.499999999999999</v>
      </c>
      <c r="L13">
        <v>0.499999999999999</v>
      </c>
      <c r="M13">
        <v>0.499999999999999</v>
      </c>
    </row>
    <row r="14" spans="10:13" x14ac:dyDescent="0.25">
      <c r="J14">
        <v>0.499999999999999</v>
      </c>
      <c r="K14">
        <v>-0.499999999999999</v>
      </c>
      <c r="L14">
        <v>0.499999999999999</v>
      </c>
      <c r="M14">
        <v>-0.499999999999999</v>
      </c>
    </row>
    <row r="15" spans="10:13" x14ac:dyDescent="0.25">
      <c r="J15">
        <v>0.499999999999999</v>
      </c>
      <c r="K15">
        <v>0.499999999999999</v>
      </c>
      <c r="L15">
        <v>-0.499999999999999</v>
      </c>
      <c r="M15">
        <v>-0.499999999999999</v>
      </c>
    </row>
    <row r="16" spans="10:13" x14ac:dyDescent="0.25">
      <c r="J16">
        <v>0.499999999999999</v>
      </c>
      <c r="K16">
        <v>-0.499999999999999</v>
      </c>
      <c r="L16">
        <v>-0.499999999999999</v>
      </c>
      <c r="M16">
        <v>0.499999999999999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J13:M16"/>
  <sheetViews>
    <sheetView zoomScaleNormal="100" workbookViewId="0">
      <selection activeCell="J17" sqref="J17"/>
    </sheetView>
  </sheetViews>
  <sheetFormatPr defaultRowHeight="15" x14ac:dyDescent="0.25"/>
  <sheetData>
    <row r="13" spans="10:13" x14ac:dyDescent="0.25">
      <c r="J13">
        <v>0</v>
      </c>
      <c r="K13">
        <v>0</v>
      </c>
      <c r="L13">
        <v>0</v>
      </c>
      <c r="M13">
        <v>1</v>
      </c>
    </row>
    <row r="14" spans="10:13" x14ac:dyDescent="0.25">
      <c r="J14">
        <v>0</v>
      </c>
      <c r="K14">
        <v>0</v>
      </c>
      <c r="L14">
        <v>1</v>
      </c>
      <c r="M14">
        <v>0</v>
      </c>
    </row>
    <row r="15" spans="10:13" x14ac:dyDescent="0.25">
      <c r="J15">
        <v>0</v>
      </c>
      <c r="K15">
        <v>1</v>
      </c>
      <c r="L15">
        <v>0</v>
      </c>
      <c r="M15">
        <v>0</v>
      </c>
    </row>
    <row r="16" spans="10:13" x14ac:dyDescent="0.25">
      <c r="J16">
        <v>1</v>
      </c>
      <c r="K16">
        <v>0</v>
      </c>
      <c r="L16">
        <v>0</v>
      </c>
      <c r="M1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J13:M16"/>
  <sheetViews>
    <sheetView zoomScaleNormal="100" workbookViewId="0">
      <selection activeCell="J17" sqref="J17"/>
    </sheetView>
  </sheetViews>
  <sheetFormatPr defaultRowHeight="15" x14ac:dyDescent="0.25"/>
  <sheetData>
    <row r="13" spans="10:13" x14ac:dyDescent="0.25">
      <c r="J13">
        <v>1</v>
      </c>
      <c r="K13">
        <v>0</v>
      </c>
      <c r="L13">
        <v>0</v>
      </c>
      <c r="M13">
        <v>0</v>
      </c>
    </row>
    <row r="14" spans="10:13" x14ac:dyDescent="0.25">
      <c r="J14">
        <v>0</v>
      </c>
      <c r="K14">
        <v>0</v>
      </c>
      <c r="L14">
        <v>0</v>
      </c>
      <c r="M14">
        <v>1</v>
      </c>
    </row>
    <row r="15" spans="10:13" x14ac:dyDescent="0.25">
      <c r="J15">
        <v>0</v>
      </c>
      <c r="K15">
        <v>0</v>
      </c>
      <c r="L15">
        <v>1</v>
      </c>
      <c r="M15">
        <v>0</v>
      </c>
    </row>
    <row r="16" spans="10:13" x14ac:dyDescent="0.25">
      <c r="J16">
        <v>0</v>
      </c>
      <c r="K16">
        <v>1</v>
      </c>
      <c r="L16">
        <v>0</v>
      </c>
      <c r="M1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J13:M16"/>
  <sheetViews>
    <sheetView zoomScale="25" zoomScaleNormal="25" workbookViewId="0">
      <selection activeCell="J17" sqref="J17"/>
    </sheetView>
  </sheetViews>
  <sheetFormatPr defaultRowHeight="15" x14ac:dyDescent="0.25"/>
  <sheetData>
    <row r="13" spans="10:13" x14ac:dyDescent="0.25">
      <c r="J13">
        <v>0</v>
      </c>
      <c r="K13">
        <v>0</v>
      </c>
      <c r="L13">
        <v>0</v>
      </c>
      <c r="M13">
        <v>1</v>
      </c>
    </row>
    <row r="14" spans="10:13" x14ac:dyDescent="0.25">
      <c r="J14">
        <v>0</v>
      </c>
      <c r="K14">
        <v>0</v>
      </c>
      <c r="L14">
        <v>1</v>
      </c>
      <c r="M14">
        <v>0</v>
      </c>
    </row>
    <row r="15" spans="10:13" x14ac:dyDescent="0.25">
      <c r="J15">
        <v>0</v>
      </c>
      <c r="K15">
        <v>1</v>
      </c>
      <c r="L15">
        <v>0</v>
      </c>
      <c r="M15">
        <v>0</v>
      </c>
    </row>
    <row r="16" spans="10:13" x14ac:dyDescent="0.25">
      <c r="J16">
        <v>1</v>
      </c>
      <c r="K16">
        <v>0</v>
      </c>
      <c r="L16">
        <v>0</v>
      </c>
      <c r="M16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J13:M16"/>
  <sheetViews>
    <sheetView zoomScale="25" zoomScaleNormal="25" workbookViewId="0">
      <selection activeCell="J17" sqref="J17"/>
    </sheetView>
  </sheetViews>
  <sheetFormatPr defaultRowHeight="15" x14ac:dyDescent="0.25"/>
  <sheetData>
    <row r="13" spans="10:13" x14ac:dyDescent="0.25">
      <c r="J13">
        <v>0.499999999999999</v>
      </c>
      <c r="K13">
        <v>0.499999999999999</v>
      </c>
      <c r="L13">
        <v>0.499999999999999</v>
      </c>
      <c r="M13">
        <v>0.499999999999999</v>
      </c>
    </row>
    <row r="14" spans="10:13" x14ac:dyDescent="0.25">
      <c r="J14">
        <v>0.499999999999999</v>
      </c>
      <c r="K14">
        <v>-0.499999999999999</v>
      </c>
      <c r="L14">
        <v>0.499999999999999</v>
      </c>
      <c r="M14">
        <v>-0.499999999999999</v>
      </c>
    </row>
    <row r="15" spans="10:13" x14ac:dyDescent="0.25">
      <c r="J15">
        <v>0.499999999999999</v>
      </c>
      <c r="K15">
        <v>0.499999999999999</v>
      </c>
      <c r="L15">
        <v>-0.499999999999999</v>
      </c>
      <c r="M15">
        <v>-0.499999999999999</v>
      </c>
    </row>
    <row r="16" spans="10:13" x14ac:dyDescent="0.25">
      <c r="J16">
        <v>0.499999999999999</v>
      </c>
      <c r="K16">
        <v>-0.499999999999999</v>
      </c>
      <c r="L16">
        <v>-0.499999999999999</v>
      </c>
      <c r="M16">
        <v>0.499999999999999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25" zoomScaleNormal="25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25" zoomScaleNormal="25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25" zoomScaleNormal="25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G18"/>
  <sheetViews>
    <sheetView workbookViewId="0">
      <selection activeCell="B19" sqref="B19"/>
    </sheetView>
  </sheetViews>
  <sheetFormatPr defaultRowHeight="15" x14ac:dyDescent="0.25"/>
  <sheetData>
    <row r="3" spans="3:7" x14ac:dyDescent="0.25">
      <c r="C3">
        <f>BIN2DEC(111111111)</f>
        <v>511</v>
      </c>
      <c r="G3" t="s">
        <v>8</v>
      </c>
    </row>
    <row r="4" spans="3:7" x14ac:dyDescent="0.25">
      <c r="E4" t="str">
        <f>DEC2BIN(511)</f>
        <v>111111111</v>
      </c>
      <c r="G4" t="s">
        <v>9</v>
      </c>
    </row>
    <row r="5" spans="3:7" x14ac:dyDescent="0.25">
      <c r="C5">
        <f>BIN2DEC(11111)</f>
        <v>31</v>
      </c>
    </row>
    <row r="6" spans="3:7" x14ac:dyDescent="0.25">
      <c r="E6" t="str">
        <f>DEC2BIN(4,5)</f>
        <v>00100</v>
      </c>
    </row>
    <row r="17" spans="2:2" x14ac:dyDescent="0.25">
      <c r="B17">
        <f>SIN(SQRT(2))/SQRT(2)</f>
        <v>0.69845599863660834</v>
      </c>
    </row>
    <row r="18" spans="2:2" x14ac:dyDescent="0.25">
      <c r="B18">
        <f>COS(SQRT(2))</f>
        <v>0.15594369476537437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71</vt:i4>
      </vt:variant>
    </vt:vector>
  </HeadingPairs>
  <TitlesOfParts>
    <vt:vector size="102" baseType="lpstr">
      <vt:lpstr>QuantumComputer</vt:lpstr>
      <vt:lpstr>SavedCircuits</vt:lpstr>
      <vt:lpstr>CircuitDiagram</vt:lpstr>
      <vt:lpstr>CNOT</vt:lpstr>
      <vt:lpstr>R</vt:lpstr>
      <vt:lpstr>States</vt:lpstr>
      <vt:lpstr>Sheet1</vt:lpstr>
      <vt:lpstr>Sheet2</vt:lpstr>
      <vt:lpstr>RoughWorking</vt:lpstr>
      <vt:lpstr>Quantum Teleportation</vt:lpstr>
      <vt:lpstr>OperatorMatrix01</vt:lpstr>
      <vt:lpstr>OperatorMatrix02</vt:lpstr>
      <vt:lpstr>OperatorMatrix03</vt:lpstr>
      <vt:lpstr>OperatorMatrix04</vt:lpstr>
      <vt:lpstr>OperatorMatrix05</vt:lpstr>
      <vt:lpstr>OperatorMatrix06</vt:lpstr>
      <vt:lpstr>OperatorMatrix07</vt:lpstr>
      <vt:lpstr>OperatorMatrix08</vt:lpstr>
      <vt:lpstr>OperatorMatrix09</vt:lpstr>
      <vt:lpstr>OperatorMatrix10</vt:lpstr>
      <vt:lpstr>OperatorMatrix11</vt:lpstr>
      <vt:lpstr>OperatorMatrix12</vt:lpstr>
      <vt:lpstr>OperatorMatrix13</vt:lpstr>
      <vt:lpstr>OperatorMatrix14</vt:lpstr>
      <vt:lpstr>OperatorMatrix15</vt:lpstr>
      <vt:lpstr>OperatorMatrix16</vt:lpstr>
      <vt:lpstr>OperatorMatrix17</vt:lpstr>
      <vt:lpstr>OperatorMatrix18</vt:lpstr>
      <vt:lpstr>OperatorMatrix19</vt:lpstr>
      <vt:lpstr>OperatorMatrix20</vt:lpstr>
      <vt:lpstr>Sheet3</vt:lpstr>
      <vt:lpstr>A</vt:lpstr>
      <vt:lpstr>CNOT1on2</vt:lpstr>
      <vt:lpstr>CNOT1on3</vt:lpstr>
      <vt:lpstr>CNOT1on4</vt:lpstr>
      <vt:lpstr>CNOT2on1</vt:lpstr>
      <vt:lpstr>CNOT2on3</vt:lpstr>
      <vt:lpstr>CNOT2on4</vt:lpstr>
      <vt:lpstr>CNOT3on1</vt:lpstr>
      <vt:lpstr>CNOT3on2</vt:lpstr>
      <vt:lpstr>CNOT3on4</vt:lpstr>
      <vt:lpstr>CNOT4on1</vt:lpstr>
      <vt:lpstr>CNOT4on2</vt:lpstr>
      <vt:lpstr>CNOT4on3</vt:lpstr>
      <vt:lpstr>G</vt:lpstr>
      <vt:lpstr>Gates01</vt:lpstr>
      <vt:lpstr>Gates02</vt:lpstr>
      <vt:lpstr>Gates03</vt:lpstr>
      <vt:lpstr>Gates04</vt:lpstr>
      <vt:lpstr>Gates05</vt:lpstr>
      <vt:lpstr>Gates06</vt:lpstr>
      <vt:lpstr>Gates07</vt:lpstr>
      <vt:lpstr>Gates08</vt:lpstr>
      <vt:lpstr>Gates09</vt:lpstr>
      <vt:lpstr>Gates10</vt:lpstr>
      <vt:lpstr>Gates11</vt:lpstr>
      <vt:lpstr>Gates12</vt:lpstr>
      <vt:lpstr>Gates13</vt:lpstr>
      <vt:lpstr>Gates14</vt:lpstr>
      <vt:lpstr>Gates15</vt:lpstr>
      <vt:lpstr>Gates16</vt:lpstr>
      <vt:lpstr>Gates17</vt:lpstr>
      <vt:lpstr>Gates18</vt:lpstr>
      <vt:lpstr>Gates19</vt:lpstr>
      <vt:lpstr>Gates20</vt:lpstr>
      <vt:lpstr>H</vt:lpstr>
      <vt:lpstr>I</vt:lpstr>
      <vt:lpstr>InitialStatesVector</vt:lpstr>
      <vt:lpstr>L</vt:lpstr>
      <vt:lpstr>M</vt:lpstr>
      <vt:lpstr>N</vt:lpstr>
      <vt:lpstr>OperatorMatrix1</vt:lpstr>
      <vt:lpstr>OperatorMatrix2</vt:lpstr>
      <vt:lpstr>OperatorMatrix3</vt:lpstr>
      <vt:lpstr>OperatorMatrix4</vt:lpstr>
      <vt:lpstr>OperatorMatrix5</vt:lpstr>
      <vt:lpstr>OperatorMatrixGates01</vt:lpstr>
      <vt:lpstr>OperatorMatrixGates02</vt:lpstr>
      <vt:lpstr>OperatorMatrixGates03</vt:lpstr>
      <vt:lpstr>OperatorMatrixGates04</vt:lpstr>
      <vt:lpstr>OperatorMatrixGates05</vt:lpstr>
      <vt:lpstr>P</vt:lpstr>
      <vt:lpstr>PossibleStatesVector01</vt:lpstr>
      <vt:lpstr>PossibleStatesVector02</vt:lpstr>
      <vt:lpstr>PossibleStatesVector03</vt:lpstr>
      <vt:lpstr>PossibleStatesVector04</vt:lpstr>
      <vt:lpstr>PossibleStatesVector05</vt:lpstr>
      <vt:lpstr>RR21on2R</vt:lpstr>
      <vt:lpstr>RR22on1R</vt:lpstr>
      <vt:lpstr>RR23on2R</vt:lpstr>
      <vt:lpstr>RR24on3R</vt:lpstr>
      <vt:lpstr>RR33on1R</vt:lpstr>
      <vt:lpstr>RR34on2R</vt:lpstr>
      <vt:lpstr>RR44on1R</vt:lpstr>
      <vt:lpstr>SState1S</vt:lpstr>
      <vt:lpstr>SState2S</vt:lpstr>
      <vt:lpstr>SState3S</vt:lpstr>
      <vt:lpstr>SState4S</vt:lpstr>
      <vt:lpstr>T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2020-04-02T13:33:09Z</dcterms:modified>
</cp:coreProperties>
</file>