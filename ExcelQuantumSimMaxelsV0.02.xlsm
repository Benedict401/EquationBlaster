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ExcelQuantum\"/>
    </mc:Choice>
  </mc:AlternateContent>
  <bookViews>
    <workbookView xWindow="0" yWindow="0" windowWidth="20490" windowHeight="8340" firstSheet="3" activeTab="4"/>
  </bookViews>
  <sheets>
    <sheet name="TensorMultiplication" sheetId="5" r:id="rId1"/>
    <sheet name="MatrixMultiplication" sheetId="6" r:id="rId2"/>
    <sheet name="StateVectors" sheetId="8" r:id="rId3"/>
    <sheet name="GateLayers" sheetId="11" r:id="rId4"/>
    <sheet name="Try" sheetId="12" r:id="rId5"/>
    <sheet name="GateLayersTemplate" sheetId="10" r:id="rId6"/>
    <sheet name="UniversalSetOfGates" sheetId="9" r:id="rId7"/>
    <sheet name="CNOT" sheetId="7" r:id="rId8"/>
    <sheet name="Sheet1" sheetId="1" r:id="rId9"/>
    <sheet name="Sheet2" sheetId="2" r:id="rId10"/>
    <sheet name="Sheet3" sheetId="3" r:id="rId11"/>
    <sheet name="Sheet4" sheetId="4" r:id="rId12"/>
    <sheet name="Sheet5" sheetId="13" r:id="rId13"/>
  </sheets>
  <functionGroups builtInGroupCount="18"/>
  <definedNames>
    <definedName name="AM">Try!$F$10:$G$11</definedName>
    <definedName name="BM">GateLayersTemplate!$L$4:$M$5</definedName>
    <definedName name="CNOT1on2">CNOT!$F$5:$I$8</definedName>
    <definedName name="CNOT1on3">CNOT!$P$5:$W$12</definedName>
    <definedName name="CNOT1on4">CNOT!$AD$5:$AS$20</definedName>
    <definedName name="CNOT2on1">CNOT!$F$11:$I$14</definedName>
    <definedName name="CNOT2on3">CNOT!$P$15:$W$22</definedName>
    <definedName name="CNOT2on4">CNOT!$AD$23:$AS$38</definedName>
    <definedName name="CNOT3on1">CNOT!$P$25:$W$32</definedName>
    <definedName name="CNOT3on2">CNOT!$P$35:$W$42</definedName>
    <definedName name="CNOT3on4">CNOT!$AD$41:$AS$56</definedName>
    <definedName name="CNOT4on1">CNOT!$AD$59:$AS$74</definedName>
    <definedName name="CNOT4on2">CNOT!$AD$77:$AS$92</definedName>
    <definedName name="CNOT4on3">CNOT!$AD$95:$AS$110</definedName>
    <definedName name="PM">Try!$J$10:$K$11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6" i="12" l="1"/>
  <c r="Z5" i="12"/>
  <c r="AU6" i="12"/>
  <c r="AT6" i="12"/>
  <c r="AQ6" i="12"/>
  <c r="AP6" i="12"/>
  <c r="AM6" i="12"/>
  <c r="AL6" i="12"/>
  <c r="AU5" i="12"/>
  <c r="AT5" i="12"/>
  <c r="AQ5" i="12"/>
  <c r="AP5" i="12"/>
  <c r="AM5" i="12"/>
  <c r="AL5" i="12"/>
  <c r="AH5" i="12"/>
  <c r="Q15" i="12"/>
  <c r="T11" i="12"/>
  <c r="U11" i="12"/>
  <c r="U10" i="12"/>
  <c r="T10" i="12"/>
  <c r="V6" i="12"/>
  <c r="W6" i="12"/>
  <c r="W5" i="12"/>
  <c r="V5" i="12"/>
  <c r="R6" i="12"/>
  <c r="S6" i="12"/>
  <c r="S5" i="12"/>
  <c r="R5" i="12"/>
  <c r="N6" i="12"/>
  <c r="O6" i="12"/>
  <c r="O5" i="12"/>
  <c r="N5" i="12"/>
  <c r="J5" i="12"/>
  <c r="AM6" i="11" l="1"/>
  <c r="AM4" i="11"/>
  <c r="AF11" i="10" l="1"/>
  <c r="AF5" i="10"/>
  <c r="AF6" i="10"/>
  <c r="AF7" i="10"/>
  <c r="AF8" i="10"/>
  <c r="AF9" i="10"/>
  <c r="AF10" i="10"/>
  <c r="AF4" i="10"/>
  <c r="AK7" i="10"/>
  <c r="AK5" i="10"/>
  <c r="F17" i="10"/>
  <c r="E17" i="10"/>
  <c r="F16" i="10"/>
  <c r="E16" i="10"/>
  <c r="F12" i="10"/>
  <c r="E13" i="10"/>
  <c r="E19" i="1" l="1"/>
  <c r="F18" i="1"/>
  <c r="G17" i="1"/>
  <c r="E14" i="1" l="1"/>
  <c r="F13" i="1"/>
  <c r="G12" i="1"/>
  <c r="AE8" i="1" l="1"/>
  <c r="AD8" i="1"/>
  <c r="H11" i="2" l="1"/>
  <c r="G11" i="2"/>
  <c r="I19" i="2"/>
  <c r="H18" i="2"/>
  <c r="E19" i="2"/>
  <c r="D18" i="2"/>
  <c r="S26" i="2" l="1"/>
  <c r="R25" i="2"/>
  <c r="E15" i="2"/>
  <c r="D14" i="2"/>
  <c r="AL17" i="1" l="1"/>
  <c r="AK16" i="1"/>
  <c r="Q10" i="1" l="1"/>
  <c r="S12" i="1"/>
  <c r="S11" i="1"/>
  <c r="S10" i="1"/>
  <c r="T10" i="1" s="1"/>
  <c r="Q11" i="1"/>
  <c r="E6" i="1"/>
  <c r="F5" i="1"/>
  <c r="G4" i="1"/>
  <c r="T12" i="1" l="1"/>
  <c r="S11" i="2" l="1"/>
  <c r="R11" i="2"/>
  <c r="R7" i="2"/>
  <c r="M6" i="2" l="1"/>
</calcChain>
</file>

<file path=xl/sharedStrings.xml><?xml version="1.0" encoding="utf-8"?>
<sst xmlns="http://schemas.openxmlformats.org/spreadsheetml/2006/main" count="400" uniqueCount="236">
  <si>
    <t xml:space="preserve"> </t>
  </si>
  <si>
    <t>2-2i</t>
  </si>
  <si>
    <t>2+2i</t>
  </si>
  <si>
    <t>4+8i</t>
  </si>
  <si>
    <t>374-64i</t>
  </si>
  <si>
    <t>106-26i</t>
  </si>
  <si>
    <t>374+64i</t>
  </si>
  <si>
    <t>1304+448i</t>
  </si>
  <si>
    <t>106+26i</t>
  </si>
  <si>
    <t>1304-448i</t>
  </si>
  <si>
    <t>13.9184818831306+3.41396725435279i</t>
  </si>
  <si>
    <t>49.1086058895362+8.40361170302224i</t>
  </si>
  <si>
    <t>14.2955030597134-12.0464727449933i</t>
  </si>
  <si>
    <t>49.1086058895362-8.40361170302224i</t>
  </si>
  <si>
    <t>13.9184818831306-3.41396725435279i</t>
  </si>
  <si>
    <t>14.2955030597134+12.0464727449933i</t>
  </si>
  <si>
    <t>1304+447.999999999998i</t>
  </si>
  <si>
    <t>1304-447.999999999998i</t>
  </si>
  <si>
    <t>16310+85i</t>
  </si>
  <si>
    <t>660+40i</t>
  </si>
  <si>
    <t>16310-85i</t>
  </si>
  <si>
    <t>10134-30i</t>
  </si>
  <si>
    <t>660-40i</t>
  </si>
  <si>
    <t>10134+30i</t>
  </si>
  <si>
    <t>422.675049474122-2.20278229339671i</t>
  </si>
  <si>
    <t>17.1039566310803-1.03660343218669i</t>
  </si>
  <si>
    <t>1.48467136834069+0.220206891492802i</t>
  </si>
  <si>
    <t>422.675049474122+2.20278229339671i</t>
  </si>
  <si>
    <t>17.1039566310803+1.03660343218669i</t>
  </si>
  <si>
    <t>1.48467136834069-0.220206891492802i</t>
  </si>
  <si>
    <t>16310+84.9999999999999i</t>
  </si>
  <si>
    <t>659.999999999998+40.0000000000001i</t>
  </si>
  <si>
    <t>16310-84.9999999999999i</t>
  </si>
  <si>
    <t>659.999999999998-40.0000000000001i</t>
  </si>
  <si>
    <t>314661+55892i</t>
  </si>
  <si>
    <t>8159-38795i</t>
  </si>
  <si>
    <t>314661-55892i</t>
  </si>
  <si>
    <t>38844-3928911i</t>
  </si>
  <si>
    <t>8159+38795i</t>
  </si>
  <si>
    <t>38844+3928911i</t>
  </si>
  <si>
    <t>5326.35618203824-946.099769995269i</t>
  </si>
  <si>
    <t>138.109712005142+656.693991572434i</t>
  </si>
  <si>
    <t>-50.3873543395179+200.575706254682i</t>
  </si>
  <si>
    <t>5326.35618203824+946.099769995269i</t>
  </si>
  <si>
    <t>138.109712005142-656.693991572434i</t>
  </si>
  <si>
    <t>-50.3873543395179-200.575706254682i</t>
  </si>
  <si>
    <t>12-14i</t>
  </si>
  <si>
    <t>7-9i</t>
  </si>
  <si>
    <t>5-13i</t>
  </si>
  <si>
    <t>82+20i</t>
  </si>
  <si>
    <t>178+128i</t>
  </si>
  <si>
    <t>82-20i</t>
  </si>
  <si>
    <t>122+42i</t>
  </si>
  <si>
    <t>178-128i</t>
  </si>
  <si>
    <t>122-42i</t>
  </si>
  <si>
    <t>4.32177946889678-1.05409255338946i</t>
  </si>
  <si>
    <t>9.38142372516618-6.74619234169253i</t>
  </si>
  <si>
    <t>6.39355388260043-1.95504576951136i</t>
  </si>
  <si>
    <t>4.32177946889678+1.05409255338946i</t>
  </si>
  <si>
    <t>9.38142372516618+6.74619234169253i</t>
  </si>
  <si>
    <t>6.39355388260043+1.95504576951136i</t>
  </si>
  <si>
    <t>C1 x C2* = (C1* x C2) *</t>
  </si>
  <si>
    <t>Therefore (C1 x C2*) x (C1*x C2) =&gt; Real</t>
  </si>
  <si>
    <t>0.371669061617053-0.0906509906383056i</t>
  </si>
  <si>
    <t>0.635713899241767-0.457142579230035i</t>
  </si>
  <si>
    <t>0.433246721157802-0.13247986720802i</t>
  </si>
  <si>
    <t>We are keeping this here so we can reuse it.</t>
  </si>
  <si>
    <t>135.211111111111+2.66453525910038E-15i</t>
  </si>
  <si>
    <t>9.9475983006414E-14-9.9475983006414E-14i</t>
  </si>
  <si>
    <t>-9.9475983006414E-14i</t>
  </si>
  <si>
    <t>217.778042567179-3.01980662698043E-14i</t>
  </si>
  <si>
    <t>-0.378543840907224+0.286712137398308i</t>
  </si>
  <si>
    <t>-0.549839756758978+0.168132139041827i</t>
  </si>
  <si>
    <t>-1.98951966012828E-13-9.9475983006414E-14i</t>
  </si>
  <si>
    <t>135.211111111111+3.30706477548695E-14i</t>
  </si>
  <si>
    <t>360+1.47141728499914E-14i</t>
  </si>
  <si>
    <t>-0.341377135950293-0.104387628180287i</t>
  </si>
  <si>
    <t>1.20525363660944+2.98372437868011E-16i</t>
  </si>
  <si>
    <t>-0.068622365543737-0.0028061190371047i</t>
  </si>
  <si>
    <t>-0.625755384336154-0.473952140659686i</t>
  </si>
  <si>
    <t>-0.182707259726935+0.00747130058362899i</t>
  </si>
  <si>
    <t>1.51911917139503+3.00107161343988E-16i</t>
  </si>
  <si>
    <t>0.00277777777777778-1.13535284336353E-19i</t>
  </si>
  <si>
    <t>0.00739584189333553-1.80891407588698E-18i</t>
  </si>
  <si>
    <t>0.00459183115162552+6.36723609882592E-19i</t>
  </si>
  <si>
    <t>0.00421977547609731+6.61157376668161E-19i</t>
  </si>
  <si>
    <t>-0.000507520165908153+0.0000207536127323028i</t>
  </si>
  <si>
    <t>-0.00173820940093376-0.00131653372405468i</t>
  </si>
  <si>
    <t>-0.000507520165908155-0.0000207536127323052i</t>
  </si>
  <si>
    <t>0.00891386533773109+2.65151075241008E-20i</t>
  </si>
  <si>
    <t>-0.00252477132348808-0.000772034393641698i</t>
  </si>
  <si>
    <t>-0.00173820940093377+0.00131653372405469i</t>
  </si>
  <si>
    <t>-0.00252477132348807+0.000772034393641694i</t>
  </si>
  <si>
    <t>0.999999999999999+4.00721122950642E-16i</t>
  </si>
  <si>
    <t>-9.99200722162641E-16+9.99200722162641E-16i</t>
  </si>
  <si>
    <t>-1.99840144432528E-15+4.02455846426619E-16i</t>
  </si>
  <si>
    <t>1-4.00721122950642E-16i</t>
  </si>
  <si>
    <t>-3.99680288865056E-15+1.99840144432528E-15i</t>
  </si>
  <si>
    <t>-1.99840144432528E-15-9.99200722162641E-16i</t>
  </si>
  <si>
    <t>1.00000000000001+6.51128948988172E-16i</t>
  </si>
  <si>
    <t>-0.227777777777777+0.0555555555555555i</t>
  </si>
  <si>
    <t>-9.76996261670138E-15i</t>
  </si>
  <si>
    <t>-0.378543840907222+0.286712137398305i</t>
  </si>
  <si>
    <t>-0.549839756758981+0.168132139041829i</t>
  </si>
  <si>
    <t>-0.0195886795087891+0.00477772670946077i</t>
  </si>
  <si>
    <t>-0.0256512857948779+0.0194284893386147i</t>
  </si>
  <si>
    <t>-0.0372588197663149+0.0113931468004604i</t>
  </si>
  <si>
    <t>0.00341918973511537-0.0011839101797595i</t>
  </si>
  <si>
    <t>-0.000950223428200188-0.000605251342095512i</t>
  </si>
  <si>
    <t>-0.00173820940093375+0.00131653372405467i</t>
  </si>
  <si>
    <t>0.00865425774969745-0.000848990406419043i</t>
  </si>
  <si>
    <t>-0.00252477132348808+0.000772034393641702i</t>
  </si>
  <si>
    <t>0.99999999999999+2.99760216648792E-15i</t>
  </si>
  <si>
    <t>1.99840144432528E-15+1.99840144432528E-15i</t>
  </si>
  <si>
    <t>-1.99840144432528E-15i</t>
  </si>
  <si>
    <t>0.111111111111111i</t>
  </si>
  <si>
    <t>0.999999999999996-9.99200722162641E-16i</t>
  </si>
  <si>
    <t>-1.99840144432528E-15+9.99200722162641E-16i</t>
  </si>
  <si>
    <t>-0.018681348782424+0.634517581103165i</t>
  </si>
  <si>
    <t>1.99840144432528E-15+0.336264278083659i</t>
  </si>
  <si>
    <t>0.999999999999998-4.9960036108132E-16i</t>
  </si>
  <si>
    <t>2-4i</t>
  </si>
  <si>
    <t>4-5i</t>
  </si>
  <si>
    <t>42+6i</t>
  </si>
  <si>
    <t>42-6i</t>
  </si>
  <si>
    <t>1.06581410364015E-14-9.99200722162641E-16i</t>
  </si>
  <si>
    <t>-0.749999999999999+0.107142857142857i</t>
  </si>
  <si>
    <t>-0.0791197599022851+0.0113028228431836i</t>
  </si>
  <si>
    <t>-0.0791197599022851-0.0113028228431836i</t>
  </si>
  <si>
    <t>-0.00834658187599367-0.00119236883942767i</t>
  </si>
  <si>
    <t>-0.00834658187599367+0.00119236883942767i</t>
  </si>
  <si>
    <t>-0.0266295707472182-0.0862480127186006i</t>
  </si>
  <si>
    <t>0.078696343402226+0.0310015898251193i</t>
  </si>
  <si>
    <t>0.118044515103338+0.046502384737679i</t>
  </si>
  <si>
    <t>-0.0055643879173292-0.062798092209857i</t>
  </si>
  <si>
    <t>-4.02455846426619E-16+9.99200722162641E-16i</t>
  </si>
  <si>
    <t>-6.99440505513849E-15+9.99200722162641E-16i</t>
  </si>
  <si>
    <t>X</t>
  </si>
  <si>
    <t>I</t>
  </si>
  <si>
    <t>i</t>
  </si>
  <si>
    <t>42+16i</t>
  </si>
  <si>
    <t>36+54i</t>
  </si>
  <si>
    <t>54+81i</t>
  </si>
  <si>
    <t>45+40i</t>
  </si>
  <si>
    <t>2+i</t>
  </si>
  <si>
    <t>-i</t>
  </si>
  <si>
    <t>Y</t>
  </si>
  <si>
    <t>Z</t>
  </si>
  <si>
    <t>H</t>
  </si>
  <si>
    <t>217.77804256718+4.15234541722506E-14i</t>
  </si>
  <si>
    <t>-7.3570864249957E-16+7.3570864249957E-16i</t>
  </si>
  <si>
    <t>9.9475983006414E-14+9.9475983006414E-14i</t>
  </si>
  <si>
    <t>-0.341377135950291-0.104387628180286i</t>
  </si>
  <si>
    <t>1-1.74355229048112E-16i</t>
  </si>
  <si>
    <t>-0.62575538433615-0.473952140659683i</t>
  </si>
  <si>
    <t>-0.606459035253512-0.147916837866711i</t>
  </si>
  <si>
    <t>164+40i</t>
  </si>
  <si>
    <t>356+256i</t>
  </si>
  <si>
    <t>164-40i</t>
  </si>
  <si>
    <t>356-256i</t>
  </si>
  <si>
    <t>244+84i</t>
  </si>
  <si>
    <t>244-84i</t>
  </si>
  <si>
    <t>12+14i</t>
  </si>
  <si>
    <t>7+9i</t>
  </si>
  <si>
    <t>5+13i</t>
  </si>
  <si>
    <t>0000</t>
  </si>
  <si>
    <t>0001</t>
  </si>
  <si>
    <t>0010</t>
  </si>
  <si>
    <t>0011</t>
  </si>
  <si>
    <t>0100</t>
  </si>
  <si>
    <t>0101</t>
  </si>
  <si>
    <t>0110</t>
  </si>
  <si>
    <t>0111</t>
  </si>
  <si>
    <t>1000</t>
  </si>
  <si>
    <t>1001</t>
  </si>
  <si>
    <t>1010</t>
  </si>
  <si>
    <t>1011</t>
  </si>
  <si>
    <t>1100</t>
  </si>
  <si>
    <t>1101</t>
  </si>
  <si>
    <t>1110</t>
  </si>
  <si>
    <t>1111</t>
  </si>
  <si>
    <t>AM Option1</t>
  </si>
  <si>
    <t>AM Option2</t>
  </si>
  <si>
    <t>AM Option3</t>
  </si>
  <si>
    <t>AM Option4</t>
  </si>
  <si>
    <t>AM Option15</t>
  </si>
  <si>
    <t>PM</t>
  </si>
  <si>
    <t>Answer</t>
  </si>
  <si>
    <t>2 qubit</t>
  </si>
  <si>
    <t>3 qubit</t>
  </si>
  <si>
    <t>4 qubit</t>
  </si>
  <si>
    <t>1 on 2</t>
  </si>
  <si>
    <t>1 on 3</t>
  </si>
  <si>
    <t>1 on 4</t>
  </si>
  <si>
    <t>2 on 1</t>
  </si>
  <si>
    <t>2 on 3</t>
  </si>
  <si>
    <t>2 on 4</t>
  </si>
  <si>
    <t xml:space="preserve">3 on 1 </t>
  </si>
  <si>
    <t>3 on 2</t>
  </si>
  <si>
    <t>3 on 4</t>
  </si>
  <si>
    <t>4 on 1</t>
  </si>
  <si>
    <t>4 on 2</t>
  </si>
  <si>
    <t>4 on 3</t>
  </si>
  <si>
    <t>4,4,CNOT1on2;1,1,1;2,4,1;3,3,1;4,2,1</t>
  </si>
  <si>
    <t>8,8,CNOT1on3;1,1,1;2,6,1;3,3,1;4,8,1;5,5,1;6,2,1;7,7,1;8,4,1</t>
  </si>
  <si>
    <t>16,16,CNOT1on4;1,1,1;2,10,1;3,3,1;4,12,1;5,5,1;6,14,1;7,7,1;8,16,1;9,9,1;10,2,1;11,11,1;12,4,1;13,13,1;14,6,1;15,15,1;16,8,1</t>
  </si>
  <si>
    <t>4,4,CNOT2on1;1,1,1;2,2,1;3,4,1;4,3,1</t>
  </si>
  <si>
    <t>8,8,CNOT2on3;1,1,1;2,2,1;3,7,1;4,8,1;5,5,1;6,6,1;7,3,1;8,4,1</t>
  </si>
  <si>
    <t>16,16,CNOT2on4;1,1,1;2,2,1;3,11,1;4,12,1;5,5,1;6,6,1;7,15,1;8,16,1;9,9,1;10,10,1;11,3,1;12,4,1;13,13,1;14,14,1;15,7,1;16,8,1</t>
  </si>
  <si>
    <t>8,8,CNOT3on1;1,1,1;2,2,1;3,3,1;4,4,1;5,6,1;6,5,1;7,8,1;8,7,1</t>
  </si>
  <si>
    <t>8,8,CNOT3on2;1,1,1;2,2,1;3,3,1;4,4,1;5,7,1;6,8,1;7,5,1;8,6,1</t>
  </si>
  <si>
    <t>16,16,CNOT3on4;1,1,1;2,2,1;3,3,1;4,4,1;5,13,1;6,14,1;7,15,1;8,16,1;9,9,1;10,10,1;11,11,1;12,12,1;13,5,1;14,6,1;15,7,1;16,8,1</t>
  </si>
  <si>
    <t>16,16,CNOT4on1;1,1,1;2,2,1;3,3,1;4,4,1;5,5,1;6,6,1;7,7,1;8,8,1;9,10,1;10,9,1;11,12,1;12,11,1;13,14,1;14,13,1;15,16,1;16,15,1</t>
  </si>
  <si>
    <t>16,16,CNOT4on2;1,1,1;2,2,1;3,3,1;4,4,1;5,5,1;6,6,1;7,7,1;8,8,1;9,11,1;10,12,1;11,9,1;12,10,1;13,15,1;14,16,1;15,13,1;16,14,1</t>
  </si>
  <si>
    <t>16,16,CNOT4on3;1,1,1;2,2,1;3,3,1;4,4,1;5,5,1;6,6,1;7,7,1;8,8,1;9,13,1;10,14,1;11,15,1;12,16,1;13,9,1;14,10,1;15,11,1;16,12,1</t>
  </si>
  <si>
    <t>00</t>
  </si>
  <si>
    <t>01</t>
  </si>
  <si>
    <t>10</t>
  </si>
  <si>
    <t>11</t>
  </si>
  <si>
    <t>-106+226i</t>
  </si>
  <si>
    <t>144+162i</t>
  </si>
  <si>
    <t>172+182i</t>
  </si>
  <si>
    <t>47+79i</t>
  </si>
  <si>
    <t>16+126i</t>
  </si>
  <si>
    <t>108+78i</t>
  </si>
  <si>
    <t>92+169i</t>
  </si>
  <si>
    <t>182+133i</t>
  </si>
  <si>
    <t>35+226i</t>
  </si>
  <si>
    <t>HX</t>
  </si>
  <si>
    <t>IHX</t>
  </si>
  <si>
    <t>LAYER</t>
  </si>
  <si>
    <t>CNOT1on2</t>
  </si>
  <si>
    <t>CNOT1on3</t>
  </si>
  <si>
    <t>HI</t>
  </si>
  <si>
    <t>IHI</t>
  </si>
  <si>
    <t>6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</si>
</sst>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 tint="0.39991454817346722"/>
        <bgColor indexed="64"/>
      </patternFill>
    </fill>
    <fill>
      <patternFill patternType="solid">
        <fgColor indexed="33"/>
        <bgColor indexed="64"/>
      </patternFill>
    </fill>
    <fill>
      <gradientFill>
        <stop position="0">
          <color theme="0"/>
        </stop>
        <stop position="1">
          <color theme="4"/>
        </stop>
      </gradientFill>
    </fill>
  </fills>
  <borders count="13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Fill="1" applyBorder="1"/>
    <xf numFmtId="11" fontId="0" fillId="0" borderId="0" xfId="0" applyNumberFormat="1"/>
    <xf numFmtId="0" fontId="0" fillId="0" borderId="0" xfId="0" quotePrefix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0" fillId="0" borderId="0" xfId="0" applyNumberFormat="1" applyFill="1" applyBorder="1"/>
    <xf numFmtId="0" fontId="1" fillId="0" borderId="0" xfId="0" applyFont="1" applyFill="1" applyBorder="1"/>
    <xf numFmtId="0" fontId="0" fillId="2" borderId="0" xfId="0" quotePrefix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0" borderId="0" xfId="0" quotePrefix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B54"/>
      <color rgb="FF000000"/>
      <color rgb="FFC052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R21"/>
  <sheetViews>
    <sheetView topLeftCell="K1" zoomScale="75" zoomScaleNormal="75" workbookViewId="0">
      <pane xSplit="7545" topLeftCell="R1"/>
      <selection activeCell="M18" sqref="M18:N19"/>
      <selection pane="topRight" activeCell="AA5" sqref="AA5:AH12"/>
    </sheetView>
  </sheetViews>
  <sheetFormatPr defaultRowHeight="15" x14ac:dyDescent="0.25"/>
  <cols>
    <col min="1" max="16384" width="9.140625" style="9"/>
  </cols>
  <sheetData>
    <row r="2" spans="2:44" x14ac:dyDescent="0.25">
      <c r="K2" s="9" t="s">
        <v>138</v>
      </c>
      <c r="M2" s="9">
        <v>1</v>
      </c>
    </row>
    <row r="3" spans="2:44" x14ac:dyDescent="0.25">
      <c r="B3" s="9">
        <v>1</v>
      </c>
      <c r="N3" s="9">
        <v>1</v>
      </c>
    </row>
    <row r="4" spans="2:44" x14ac:dyDescent="0.25">
      <c r="C4" s="9">
        <v>1</v>
      </c>
    </row>
    <row r="5" spans="2:44" x14ac:dyDescent="0.25">
      <c r="D5" s="9">
        <v>1</v>
      </c>
      <c r="R5" s="17"/>
      <c r="U5" s="17"/>
      <c r="AA5" s="17">
        <v>0.35355339059327401</v>
      </c>
      <c r="AB5" s="17">
        <v>0.35355339059327401</v>
      </c>
      <c r="AC5" s="17">
        <v>0.35355339059327401</v>
      </c>
      <c r="AD5" s="17">
        <v>0.35355339059327401</v>
      </c>
      <c r="AE5" s="17">
        <v>0.35355339059327401</v>
      </c>
      <c r="AF5" s="17">
        <v>0.35355339059327401</v>
      </c>
      <c r="AG5" s="17">
        <v>0.35355339059327401</v>
      </c>
      <c r="AH5" s="17">
        <v>0.35355339059327401</v>
      </c>
      <c r="AK5" s="17"/>
      <c r="AL5" s="17"/>
      <c r="AM5" s="17"/>
      <c r="AN5" s="17"/>
      <c r="AO5" s="17"/>
      <c r="AP5" s="17"/>
      <c r="AQ5" s="17"/>
      <c r="AR5" s="17"/>
    </row>
    <row r="6" spans="2:44" x14ac:dyDescent="0.25">
      <c r="E6" s="9">
        <v>1</v>
      </c>
      <c r="K6" s="9" t="s">
        <v>137</v>
      </c>
      <c r="N6" s="9">
        <v>1</v>
      </c>
      <c r="AA6" s="9">
        <v>0.35355339059327401</v>
      </c>
      <c r="AB6" s="9">
        <v>-0.35355339059327401</v>
      </c>
      <c r="AC6" s="9">
        <v>0.35355339059327401</v>
      </c>
      <c r="AD6" s="9">
        <v>-0.35355339059327401</v>
      </c>
      <c r="AE6" s="9">
        <v>0.35355339059327401</v>
      </c>
      <c r="AF6" s="9">
        <v>-0.35355339059327401</v>
      </c>
      <c r="AG6" s="9">
        <v>0.35355339059327401</v>
      </c>
      <c r="AH6" s="9">
        <v>-0.35355339059327401</v>
      </c>
    </row>
    <row r="7" spans="2:44" x14ac:dyDescent="0.25">
      <c r="M7" s="9">
        <v>1</v>
      </c>
      <c r="AA7" s="9">
        <v>0.35355339059327401</v>
      </c>
      <c r="AB7" s="9">
        <v>0.35355339059327401</v>
      </c>
      <c r="AC7" s="9">
        <v>-0.35355339059327401</v>
      </c>
      <c r="AD7" s="9">
        <v>-0.35355339059327401</v>
      </c>
      <c r="AE7" s="9">
        <v>0.35355339059327401</v>
      </c>
      <c r="AF7" s="9">
        <v>0.35355339059327401</v>
      </c>
      <c r="AG7" s="9">
        <v>-0.35355339059327401</v>
      </c>
      <c r="AH7" s="9">
        <v>-0.35355339059327401</v>
      </c>
    </row>
    <row r="8" spans="2:44" x14ac:dyDescent="0.25">
      <c r="AA8" s="17">
        <v>0.35355339059327401</v>
      </c>
      <c r="AB8" s="17">
        <v>-0.35355339059327401</v>
      </c>
      <c r="AC8" s="17">
        <v>-0.35355339059327401</v>
      </c>
      <c r="AD8" s="17">
        <v>0.35355339059327401</v>
      </c>
      <c r="AE8" s="17">
        <v>0.35355339059327401</v>
      </c>
      <c r="AF8" s="17">
        <v>-0.35355339059327401</v>
      </c>
      <c r="AG8" s="17">
        <v>-0.35355339059327401</v>
      </c>
      <c r="AH8" s="17">
        <v>0.35355339059327401</v>
      </c>
    </row>
    <row r="9" spans="2:44" x14ac:dyDescent="0.25">
      <c r="AA9" s="9">
        <v>0.35355339059327401</v>
      </c>
      <c r="AB9" s="9">
        <v>0.35355339059327401</v>
      </c>
      <c r="AC9" s="9">
        <v>0.35355339059327401</v>
      </c>
      <c r="AD9" s="9">
        <v>0.35355339059327401</v>
      </c>
      <c r="AE9" s="9">
        <v>-0.35355339059327401</v>
      </c>
      <c r="AF9" s="9">
        <v>-0.35355339059327401</v>
      </c>
      <c r="AG9" s="9">
        <v>-0.35355339059327401</v>
      </c>
      <c r="AH9" s="9">
        <v>-0.35355339059327401</v>
      </c>
    </row>
    <row r="10" spans="2:44" x14ac:dyDescent="0.25">
      <c r="K10" s="9" t="s">
        <v>146</v>
      </c>
      <c r="N10" s="9" t="s">
        <v>145</v>
      </c>
      <c r="AA10" s="9">
        <v>0.35355339059327401</v>
      </c>
      <c r="AB10" s="9">
        <v>-0.35355339059327401</v>
      </c>
      <c r="AC10" s="9">
        <v>0.35355339059327401</v>
      </c>
      <c r="AD10" s="9">
        <v>-0.35355339059327401</v>
      </c>
      <c r="AE10" s="9">
        <v>-0.35355339059327401</v>
      </c>
      <c r="AF10" s="9">
        <v>0.35355339059327401</v>
      </c>
      <c r="AG10" s="9">
        <v>-0.35355339059327401</v>
      </c>
      <c r="AH10" s="9">
        <v>0.35355339059327401</v>
      </c>
    </row>
    <row r="11" spans="2:44" x14ac:dyDescent="0.25">
      <c r="M11" s="9" t="s">
        <v>139</v>
      </c>
      <c r="AA11" s="9">
        <v>0.35355339059327401</v>
      </c>
      <c r="AB11" s="9">
        <v>0.35355339059327401</v>
      </c>
      <c r="AC11" s="9">
        <v>-0.35355339059327401</v>
      </c>
      <c r="AD11" s="9">
        <v>-0.35355339059327401</v>
      </c>
      <c r="AE11" s="9">
        <v>-0.35355339059327401</v>
      </c>
      <c r="AF11" s="9">
        <v>-0.35355339059327401</v>
      </c>
      <c r="AG11" s="9">
        <v>0.35355339059327401</v>
      </c>
      <c r="AH11" s="9">
        <v>0.35355339059327401</v>
      </c>
    </row>
    <row r="12" spans="2:44" x14ac:dyDescent="0.25">
      <c r="AA12" s="9">
        <v>0.35355339059327401</v>
      </c>
      <c r="AB12" s="9">
        <v>-0.35355339059327401</v>
      </c>
      <c r="AC12" s="9">
        <v>-0.35355339059327401</v>
      </c>
      <c r="AD12" s="9">
        <v>0.35355339059327401</v>
      </c>
      <c r="AE12" s="9">
        <v>-0.35355339059327401</v>
      </c>
      <c r="AF12" s="9">
        <v>0.35355339059327401</v>
      </c>
      <c r="AG12" s="9">
        <v>0.35355339059327401</v>
      </c>
      <c r="AH12" s="9">
        <v>-0.35355339059327401</v>
      </c>
    </row>
    <row r="14" spans="2:44" x14ac:dyDescent="0.25">
      <c r="K14" s="9" t="s">
        <v>147</v>
      </c>
      <c r="M14" s="9">
        <v>1</v>
      </c>
    </row>
    <row r="15" spans="2:44" x14ac:dyDescent="0.25">
      <c r="N15" s="9">
        <v>-1</v>
      </c>
    </row>
    <row r="18" spans="8:20" x14ac:dyDescent="0.25">
      <c r="H18" s="17">
        <v>1</v>
      </c>
      <c r="K18" s="9" t="s">
        <v>148</v>
      </c>
      <c r="M18" s="17">
        <v>0.70710678118654746</v>
      </c>
      <c r="N18" s="17">
        <v>0.70710678118654746</v>
      </c>
      <c r="Q18" s="17">
        <v>0.5</v>
      </c>
      <c r="R18" s="17">
        <v>0.5</v>
      </c>
      <c r="S18" s="9">
        <v>0.5</v>
      </c>
      <c r="T18" s="9">
        <v>0.5</v>
      </c>
    </row>
    <row r="19" spans="8:20" x14ac:dyDescent="0.25">
      <c r="M19" s="17">
        <v>0.70710678118654746</v>
      </c>
      <c r="N19" s="17">
        <v>-0.70710678118654746</v>
      </c>
      <c r="Q19" s="9">
        <v>0.5</v>
      </c>
      <c r="R19" s="9">
        <v>-0.5</v>
      </c>
      <c r="S19" s="9">
        <v>0.5</v>
      </c>
      <c r="T19" s="9">
        <v>-0.5</v>
      </c>
    </row>
    <row r="20" spans="8:20" x14ac:dyDescent="0.25">
      <c r="Q20" s="9">
        <v>0.5</v>
      </c>
      <c r="R20" s="9">
        <v>0.5</v>
      </c>
      <c r="S20" s="9">
        <v>-0.5</v>
      </c>
      <c r="T20" s="9">
        <v>-0.5</v>
      </c>
    </row>
    <row r="21" spans="8:20" x14ac:dyDescent="0.25">
      <c r="Q21" s="9">
        <v>0.5</v>
      </c>
      <c r="R21" s="9">
        <v>-0.5</v>
      </c>
      <c r="S21" s="9">
        <v>-0.5</v>
      </c>
      <c r="T21" s="9">
        <v>0.5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19"/>
  <sheetViews>
    <sheetView zoomScaleNormal="100" workbookViewId="0">
      <selection activeCell="N10" sqref="N10"/>
    </sheetView>
  </sheetViews>
  <sheetFormatPr defaultRowHeight="15" x14ac:dyDescent="0.25"/>
  <cols>
    <col min="1" max="16384" width="9.140625" style="9"/>
  </cols>
  <sheetData>
    <row r="2" spans="2:14" x14ac:dyDescent="0.25">
      <c r="B2" s="9" t="s">
        <v>181</v>
      </c>
      <c r="D2" s="9">
        <v>7</v>
      </c>
      <c r="E2" s="9">
        <v>5</v>
      </c>
    </row>
    <row r="3" spans="2:14" x14ac:dyDescent="0.25">
      <c r="D3" s="9">
        <v>6</v>
      </c>
      <c r="E3" s="9">
        <v>3</v>
      </c>
    </row>
    <row r="6" spans="2:14" x14ac:dyDescent="0.25">
      <c r="B6" s="9" t="s">
        <v>182</v>
      </c>
      <c r="D6" s="9">
        <v>3</v>
      </c>
      <c r="E6" s="9">
        <v>8</v>
      </c>
    </row>
    <row r="7" spans="2:14" x14ac:dyDescent="0.25">
      <c r="E7" s="9">
        <v>8</v>
      </c>
    </row>
    <row r="9" spans="2:14" x14ac:dyDescent="0.25">
      <c r="H9" s="9" t="s">
        <v>186</v>
      </c>
      <c r="I9" s="17">
        <v>8</v>
      </c>
      <c r="J9" s="17">
        <v>1</v>
      </c>
      <c r="M9" s="17">
        <v>106</v>
      </c>
      <c r="N9" s="17">
        <v>43</v>
      </c>
    </row>
    <row r="10" spans="2:14" x14ac:dyDescent="0.25">
      <c r="B10" s="9" t="s">
        <v>183</v>
      </c>
      <c r="D10" s="17">
        <v>8</v>
      </c>
      <c r="E10" s="17">
        <v>7</v>
      </c>
      <c r="I10" s="17">
        <v>6</v>
      </c>
      <c r="J10" s="17">
        <v>5</v>
      </c>
      <c r="M10" s="17">
        <v>24</v>
      </c>
      <c r="N10" s="17">
        <v>20</v>
      </c>
    </row>
    <row r="11" spans="2:14" x14ac:dyDescent="0.25">
      <c r="E11" s="17">
        <v>4</v>
      </c>
    </row>
    <row r="14" spans="2:14" x14ac:dyDescent="0.25">
      <c r="B14" s="9" t="s">
        <v>184</v>
      </c>
      <c r="D14" s="9">
        <v>9</v>
      </c>
      <c r="E14" s="9">
        <v>8</v>
      </c>
      <c r="L14" s="9" t="s">
        <v>187</v>
      </c>
      <c r="M14" s="9">
        <v>106</v>
      </c>
      <c r="N14" s="9">
        <v>43</v>
      </c>
    </row>
    <row r="15" spans="2:14" x14ac:dyDescent="0.25">
      <c r="D15" s="9">
        <v>4</v>
      </c>
      <c r="E15" s="9">
        <v>10</v>
      </c>
      <c r="M15" s="9">
        <v>24</v>
      </c>
      <c r="N15" s="9">
        <v>20</v>
      </c>
    </row>
    <row r="18" spans="2:5" x14ac:dyDescent="0.25">
      <c r="B18" s="9" t="s">
        <v>185</v>
      </c>
      <c r="D18" s="9">
        <v>9</v>
      </c>
      <c r="E18" s="9">
        <v>1</v>
      </c>
    </row>
    <row r="19" spans="2:5" x14ac:dyDescent="0.25">
      <c r="D19" s="9">
        <v>9</v>
      </c>
      <c r="E19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T18"/>
  <sheetViews>
    <sheetView workbookViewId="0"/>
  </sheetViews>
  <sheetFormatPr defaultColWidth="5.7109375" defaultRowHeight="15" x14ac:dyDescent="0.25"/>
  <cols>
    <col min="1" max="16384" width="5.7109375" style="9"/>
  </cols>
  <sheetData>
    <row r="2" spans="2:20" ht="15.75" thickBot="1" x14ac:dyDescent="0.3"/>
    <row r="3" spans="2:20" ht="15.75" thickTop="1" x14ac:dyDescent="0.25">
      <c r="B3" s="9" t="s">
        <v>231</v>
      </c>
      <c r="D3" s="9">
        <v>1</v>
      </c>
      <c r="N3" s="14"/>
      <c r="Q3" s="14"/>
      <c r="T3" s="14"/>
    </row>
    <row r="4" spans="2:20" x14ac:dyDescent="0.25">
      <c r="G4" s="9">
        <v>1</v>
      </c>
      <c r="N4" s="16"/>
      <c r="Q4" s="16"/>
      <c r="T4" s="16"/>
    </row>
    <row r="5" spans="2:20" x14ac:dyDescent="0.25">
      <c r="F5" s="9">
        <v>1</v>
      </c>
      <c r="N5" s="16"/>
      <c r="Q5" s="16"/>
      <c r="T5" s="16"/>
    </row>
    <row r="6" spans="2:20" ht="15.75" thickBot="1" x14ac:dyDescent="0.3">
      <c r="E6" s="9">
        <v>1</v>
      </c>
      <c r="N6" s="15"/>
      <c r="Q6" s="15"/>
      <c r="T6" s="15"/>
    </row>
    <row r="7" spans="2:20" ht="15.75" thickTop="1" x14ac:dyDescent="0.25"/>
    <row r="9" spans="2:20" ht="15.75" thickBot="1" x14ac:dyDescent="0.3"/>
    <row r="10" spans="2:20" ht="15.75" thickTop="1" x14ac:dyDescent="0.25">
      <c r="B10" s="9" t="s">
        <v>232</v>
      </c>
      <c r="D10" s="9">
        <v>1</v>
      </c>
      <c r="N10" s="14"/>
      <c r="Q10" s="14"/>
      <c r="T10" s="14"/>
    </row>
    <row r="11" spans="2:20" x14ac:dyDescent="0.25">
      <c r="I11" s="9">
        <v>1</v>
      </c>
      <c r="N11" s="16"/>
      <c r="Q11" s="16"/>
      <c r="T11" s="16"/>
    </row>
    <row r="12" spans="2:20" x14ac:dyDescent="0.25">
      <c r="F12" s="9">
        <v>1</v>
      </c>
      <c r="N12" s="16"/>
      <c r="Q12" s="16"/>
      <c r="T12" s="16"/>
    </row>
    <row r="13" spans="2:20" x14ac:dyDescent="0.25">
      <c r="K13" s="9">
        <v>1</v>
      </c>
      <c r="N13" s="16"/>
      <c r="Q13" s="16"/>
      <c r="T13" s="16"/>
    </row>
    <row r="14" spans="2:20" x14ac:dyDescent="0.25">
      <c r="H14" s="9">
        <v>1</v>
      </c>
      <c r="N14" s="16"/>
      <c r="Q14" s="16"/>
      <c r="T14" s="16"/>
    </row>
    <row r="15" spans="2:20" x14ac:dyDescent="0.25">
      <c r="E15" s="9">
        <v>1</v>
      </c>
      <c r="N15" s="16"/>
      <c r="Q15" s="16"/>
      <c r="T15" s="16"/>
    </row>
    <row r="16" spans="2:20" x14ac:dyDescent="0.25">
      <c r="J16" s="9">
        <v>1</v>
      </c>
      <c r="N16" s="16"/>
      <c r="Q16" s="16"/>
      <c r="T16" s="16"/>
    </row>
    <row r="17" spans="7:20" ht="15.75" thickBot="1" x14ac:dyDescent="0.3">
      <c r="G17" s="9">
        <v>1</v>
      </c>
      <c r="N17" s="15"/>
      <c r="Q17" s="15"/>
      <c r="T17" s="15"/>
    </row>
    <row r="18" spans="7:20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E3:AM18"/>
  <sheetViews>
    <sheetView zoomScale="75" zoomScaleNormal="75" workbookViewId="0">
      <selection activeCell="AI6" sqref="AI6"/>
    </sheetView>
  </sheetViews>
  <sheetFormatPr defaultColWidth="5.7109375" defaultRowHeight="24.95" customHeight="1" x14ac:dyDescent="0.25"/>
  <cols>
    <col min="1" max="16384" width="5.7109375" style="9"/>
  </cols>
  <sheetData>
    <row r="3" spans="5:39" ht="24.95" customHeight="1" thickBot="1" x14ac:dyDescent="0.3">
      <c r="E3" s="40" t="s">
        <v>138</v>
      </c>
      <c r="L3" s="40" t="s">
        <v>138</v>
      </c>
      <c r="P3" s="40" t="s">
        <v>233</v>
      </c>
      <c r="V3" s="40" t="s">
        <v>234</v>
      </c>
    </row>
    <row r="4" spans="5:39" ht="24.95" customHeight="1" thickTop="1" x14ac:dyDescent="0.25">
      <c r="E4" s="23">
        <v>1</v>
      </c>
      <c r="F4" s="25"/>
      <c r="L4" s="23">
        <v>1</v>
      </c>
      <c r="M4" s="25"/>
      <c r="P4" s="23">
        <v>0.70710678118654702</v>
      </c>
      <c r="Q4" s="26"/>
      <c r="R4" s="26">
        <v>0.70710678118654702</v>
      </c>
      <c r="S4" s="25"/>
      <c r="V4" s="31">
        <v>0.70710678118654702</v>
      </c>
      <c r="W4" s="26"/>
      <c r="X4" s="34">
        <v>0.70710678118654702</v>
      </c>
      <c r="Y4" s="26"/>
      <c r="Z4" s="26"/>
      <c r="AA4" s="26"/>
      <c r="AB4" s="26"/>
      <c r="AC4" s="25"/>
      <c r="AF4" s="20">
        <v>1</v>
      </c>
      <c r="AI4" s="20">
        <v>0.70710678118654702</v>
      </c>
      <c r="AM4" s="42">
        <f>1/SQRT(2)</f>
        <v>0.70710678118654746</v>
      </c>
    </row>
    <row r="5" spans="5:39" ht="24.95" customHeight="1" thickBot="1" x14ac:dyDescent="0.3">
      <c r="E5" s="24"/>
      <c r="F5" s="27">
        <v>1</v>
      </c>
      <c r="L5" s="24"/>
      <c r="M5" s="27">
        <v>1</v>
      </c>
      <c r="P5" s="22"/>
      <c r="Q5" s="21">
        <v>0.70710678118654702</v>
      </c>
      <c r="R5" s="21"/>
      <c r="S5" s="28">
        <v>0.70710678118654702</v>
      </c>
      <c r="V5" s="22"/>
      <c r="W5" s="4">
        <v>0.70710678118654702</v>
      </c>
      <c r="X5" s="21"/>
      <c r="Y5" s="4">
        <v>0.70710678118654702</v>
      </c>
      <c r="Z5" s="21"/>
      <c r="AA5" s="21"/>
      <c r="AB5" s="21"/>
      <c r="AC5" s="28"/>
      <c r="AF5" s="16"/>
      <c r="AI5" s="16"/>
      <c r="AM5" s="43"/>
    </row>
    <row r="6" spans="5:39" ht="24.95" customHeight="1" thickTop="1" x14ac:dyDescent="0.25">
      <c r="P6" s="22">
        <v>0.70710678118654702</v>
      </c>
      <c r="Q6" s="21"/>
      <c r="R6" s="21">
        <v>-0.70710678118654702</v>
      </c>
      <c r="S6" s="28"/>
      <c r="V6" s="32">
        <v>0.70710678118654702</v>
      </c>
      <c r="W6" s="21"/>
      <c r="X6" s="4">
        <v>-0.70710678118654702</v>
      </c>
      <c r="Y6" s="21"/>
      <c r="Z6" s="21"/>
      <c r="AA6" s="21"/>
      <c r="AB6" s="21"/>
      <c r="AC6" s="28"/>
      <c r="AF6" s="16"/>
      <c r="AI6" s="19">
        <v>0.70710678118654702</v>
      </c>
      <c r="AM6" s="43">
        <f>1/SQRT(2)</f>
        <v>0.70710678118654746</v>
      </c>
    </row>
    <row r="7" spans="5:39" ht="24.95" customHeight="1" thickBot="1" x14ac:dyDescent="0.3">
      <c r="E7" s="40" t="s">
        <v>137</v>
      </c>
      <c r="P7" s="24"/>
      <c r="Q7" s="29">
        <v>0.70710678118654702</v>
      </c>
      <c r="R7" s="29"/>
      <c r="S7" s="27">
        <v>-0.70710678118654702</v>
      </c>
      <c r="V7" s="22"/>
      <c r="W7" s="4">
        <v>0.70710678118654702</v>
      </c>
      <c r="X7" s="21"/>
      <c r="Y7" s="4">
        <v>-0.70710678118654702</v>
      </c>
      <c r="Z7" s="21"/>
      <c r="AA7" s="21"/>
      <c r="AB7" s="21"/>
      <c r="AC7" s="28"/>
      <c r="AF7" s="16"/>
      <c r="AI7" s="16"/>
      <c r="AM7" s="43"/>
    </row>
    <row r="8" spans="5:39" ht="24.95" customHeight="1" thickTop="1" x14ac:dyDescent="0.25">
      <c r="E8" s="23"/>
      <c r="F8" s="25">
        <v>1</v>
      </c>
      <c r="V8" s="22"/>
      <c r="W8" s="21"/>
      <c r="X8" s="21"/>
      <c r="Y8" s="21"/>
      <c r="Z8" s="4">
        <v>0.70710678118654702</v>
      </c>
      <c r="AA8" s="21"/>
      <c r="AB8" s="4">
        <v>0.70710678118654702</v>
      </c>
      <c r="AC8" s="28"/>
      <c r="AF8" s="16"/>
      <c r="AI8" s="16"/>
      <c r="AM8" s="43"/>
    </row>
    <row r="9" spans="5:39" ht="24.95" customHeight="1" thickBot="1" x14ac:dyDescent="0.3">
      <c r="E9" s="24">
        <v>1</v>
      </c>
      <c r="F9" s="27"/>
      <c r="V9" s="22"/>
      <c r="W9" s="21"/>
      <c r="X9" s="21"/>
      <c r="Y9" s="21"/>
      <c r="Z9" s="21"/>
      <c r="AA9" s="4">
        <v>0.70710678118654702</v>
      </c>
      <c r="AB9" s="21"/>
      <c r="AC9" s="37">
        <v>0.70710678118654702</v>
      </c>
      <c r="AF9" s="16"/>
      <c r="AI9" s="16"/>
      <c r="AM9" s="43"/>
    </row>
    <row r="10" spans="5:39" ht="24.95" customHeight="1" thickTop="1" x14ac:dyDescent="0.25">
      <c r="V10" s="22"/>
      <c r="W10" s="21"/>
      <c r="X10" s="21"/>
      <c r="Y10" s="21"/>
      <c r="Z10" s="4">
        <v>0.70710678118654702</v>
      </c>
      <c r="AA10" s="21"/>
      <c r="AB10" s="4">
        <v>-0.70710678118654702</v>
      </c>
      <c r="AC10" s="28"/>
      <c r="AF10" s="16"/>
      <c r="AI10" s="16"/>
      <c r="AM10" s="43"/>
    </row>
    <row r="11" spans="5:39" ht="24.95" customHeight="1" thickBot="1" x14ac:dyDescent="0.3">
      <c r="E11" s="40" t="s">
        <v>146</v>
      </c>
      <c r="V11" s="24"/>
      <c r="W11" s="29"/>
      <c r="X11" s="29"/>
      <c r="Y11" s="29"/>
      <c r="Z11" s="29"/>
      <c r="AA11" s="35">
        <v>0.70710678118654702</v>
      </c>
      <c r="AB11" s="29"/>
      <c r="AC11" s="38">
        <v>-0.70710678118654702</v>
      </c>
      <c r="AF11" s="15"/>
      <c r="AI11" s="15"/>
      <c r="AM11" s="44"/>
    </row>
    <row r="12" spans="5:39" ht="24.95" customHeight="1" thickTop="1" x14ac:dyDescent="0.25">
      <c r="E12" s="23"/>
      <c r="F12" s="25" t="s">
        <v>145</v>
      </c>
    </row>
    <row r="13" spans="5:39" ht="24.95" customHeight="1" thickBot="1" x14ac:dyDescent="0.3">
      <c r="E13" s="24" t="s">
        <v>139</v>
      </c>
      <c r="F13" s="27"/>
    </row>
    <row r="14" spans="5:39" ht="24.95" customHeight="1" thickTop="1" x14ac:dyDescent="0.25"/>
    <row r="15" spans="5:39" ht="24.95" customHeight="1" thickBot="1" x14ac:dyDescent="0.3">
      <c r="E15" s="40" t="s">
        <v>148</v>
      </c>
      <c r="P15" s="41" t="s">
        <v>138</v>
      </c>
    </row>
    <row r="16" spans="5:39" ht="24.95" customHeight="1" thickTop="1" x14ac:dyDescent="0.25">
      <c r="E16" s="23">
        <v>0.70710678118654746</v>
      </c>
      <c r="F16" s="25">
        <v>0.70710678118654746</v>
      </c>
      <c r="M16" s="40" t="s">
        <v>230</v>
      </c>
      <c r="P16" s="41" t="s">
        <v>148</v>
      </c>
    </row>
    <row r="17" spans="5:16" ht="24.95" customHeight="1" thickBot="1" x14ac:dyDescent="0.3">
      <c r="E17" s="24">
        <v>0.70710678118654746</v>
      </c>
      <c r="F17" s="27">
        <v>-0.70710678118654746</v>
      </c>
      <c r="P17" s="41" t="s">
        <v>138</v>
      </c>
    </row>
    <row r="18" spans="5:16" ht="24.95" customHeight="1" thickTop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U15"/>
  <sheetViews>
    <sheetView tabSelected="1" topLeftCell="M1" workbookViewId="0">
      <selection activeCell="AA7" sqref="AA7"/>
    </sheetView>
  </sheetViews>
  <sheetFormatPr defaultRowHeight="15" x14ac:dyDescent="0.25"/>
  <sheetData>
    <row r="2" spans="2:47" x14ac:dyDescent="0.25">
      <c r="B2" s="46">
        <v>1</v>
      </c>
      <c r="C2" s="46"/>
      <c r="D2" s="46"/>
      <c r="F2" s="17">
        <v>0.70710678118654746</v>
      </c>
      <c r="G2" s="17">
        <v>0.70710678118654746</v>
      </c>
      <c r="J2" s="46">
        <v>1</v>
      </c>
      <c r="K2" s="46"/>
      <c r="L2" s="46"/>
      <c r="N2" s="17">
        <v>0.70710678118654746</v>
      </c>
      <c r="O2" s="17">
        <v>0.70710678118654746</v>
      </c>
      <c r="R2" s="46">
        <v>1</v>
      </c>
      <c r="S2" s="46"/>
      <c r="T2" s="46"/>
      <c r="V2" s="17">
        <v>0.70710678118654746</v>
      </c>
      <c r="W2" s="17">
        <v>0.70710678118654746</v>
      </c>
      <c r="Z2" s="46">
        <v>1</v>
      </c>
      <c r="AA2" s="46"/>
      <c r="AB2" s="46"/>
      <c r="AD2" s="17">
        <v>0.70710678118654746</v>
      </c>
      <c r="AE2" s="17">
        <v>0.70710678118654746</v>
      </c>
      <c r="AH2" s="46">
        <v>1</v>
      </c>
      <c r="AI2" s="46"/>
      <c r="AJ2" s="46"/>
      <c r="AL2" s="17">
        <v>0.70710678118654746</v>
      </c>
      <c r="AM2" s="17">
        <v>0.70710678118654746</v>
      </c>
      <c r="AP2" s="46">
        <v>1</v>
      </c>
      <c r="AQ2" s="46"/>
      <c r="AR2" s="46"/>
      <c r="AT2" s="17">
        <v>0.70710678118654746</v>
      </c>
      <c r="AU2" s="17">
        <v>0.70710678118654746</v>
      </c>
    </row>
    <row r="3" spans="2:47" x14ac:dyDescent="0.25">
      <c r="B3" s="46"/>
      <c r="C3" s="46">
        <v>1</v>
      </c>
      <c r="D3" s="46"/>
      <c r="F3" s="17">
        <v>0.70710678118654746</v>
      </c>
      <c r="G3" s="17">
        <v>-0.70710678118654746</v>
      </c>
      <c r="J3" s="46"/>
      <c r="K3" s="46">
        <v>1</v>
      </c>
      <c r="L3" s="46"/>
      <c r="N3" s="17">
        <v>0.70710678118654746</v>
      </c>
      <c r="O3" s="17">
        <v>-0.70710678118654746</v>
      </c>
      <c r="R3" s="46"/>
      <c r="S3" s="46">
        <v>1</v>
      </c>
      <c r="T3" s="46"/>
      <c r="V3" s="17">
        <v>0.70710678118654746</v>
      </c>
      <c r="W3" s="17">
        <v>-0.70710678118654746</v>
      </c>
      <c r="Z3" s="46"/>
      <c r="AA3" s="46">
        <v>1</v>
      </c>
      <c r="AB3" s="46"/>
      <c r="AD3" s="17">
        <v>0.70710678118654746</v>
      </c>
      <c r="AE3" s="17">
        <v>-0.70710678118654746</v>
      </c>
      <c r="AH3" s="46"/>
      <c r="AI3" s="46">
        <v>1</v>
      </c>
      <c r="AJ3" s="46"/>
      <c r="AL3" s="17">
        <v>0.70710678118654746</v>
      </c>
      <c r="AM3" s="17">
        <v>-0.70710678118654746</v>
      </c>
      <c r="AP3" s="46"/>
      <c r="AQ3" s="46">
        <v>1</v>
      </c>
      <c r="AR3" s="46"/>
      <c r="AT3" s="17">
        <v>0.70710678118654746</v>
      </c>
      <c r="AU3" s="17">
        <v>-0.70710678118654746</v>
      </c>
    </row>
    <row r="5" spans="2:47" x14ac:dyDescent="0.25">
      <c r="B5" s="46">
        <v>1</v>
      </c>
      <c r="C5" s="46"/>
      <c r="F5" s="17">
        <v>0.70710678118654746</v>
      </c>
      <c r="G5" s="17">
        <v>0.70710678118654746</v>
      </c>
      <c r="J5">
        <f>J2/2</f>
        <v>0.5</v>
      </c>
      <c r="N5">
        <f>N2/6</f>
        <v>0.11785113019775791</v>
      </c>
      <c r="O5">
        <f>O2/6</f>
        <v>0.11785113019775791</v>
      </c>
      <c r="R5">
        <f>R2/24</f>
        <v>4.1666666666666664E-2</v>
      </c>
      <c r="S5">
        <f>S2/24</f>
        <v>0</v>
      </c>
      <c r="V5">
        <f>V2/120</f>
        <v>5.8925565098878951E-3</v>
      </c>
      <c r="W5">
        <f>W2/120</f>
        <v>5.8925565098878951E-3</v>
      </c>
      <c r="Z5" s="46">
        <f>Z2/720</f>
        <v>1.3888888888888889E-3</v>
      </c>
      <c r="AA5" s="46"/>
      <c r="AD5" s="17">
        <v>0.70710678118654746</v>
      </c>
      <c r="AE5" s="17">
        <v>0.70710678118654746</v>
      </c>
      <c r="AH5">
        <f>AH2/2</f>
        <v>0.5</v>
      </c>
      <c r="AL5">
        <f>AL2/6</f>
        <v>0.11785113019775791</v>
      </c>
      <c r="AM5">
        <f>AM2/6</f>
        <v>0.11785113019775791</v>
      </c>
      <c r="AP5">
        <f>AP2/24</f>
        <v>4.1666666666666664E-2</v>
      </c>
      <c r="AQ5">
        <f>AQ2/24</f>
        <v>0</v>
      </c>
      <c r="AT5">
        <f>AT2/120</f>
        <v>5.8925565098878951E-3</v>
      </c>
      <c r="AU5">
        <f>AU2/120</f>
        <v>5.8925565098878951E-3</v>
      </c>
    </row>
    <row r="6" spans="2:47" x14ac:dyDescent="0.25">
      <c r="B6" s="46"/>
      <c r="C6" s="46">
        <v>1</v>
      </c>
      <c r="F6" s="17">
        <v>0.70710678118654746</v>
      </c>
      <c r="G6" s="17">
        <v>-0.70710678118654746</v>
      </c>
      <c r="K6">
        <v>0.5</v>
      </c>
      <c r="N6">
        <f>N3/6</f>
        <v>0.11785113019775791</v>
      </c>
      <c r="O6">
        <f>O3/6</f>
        <v>-0.11785113019775791</v>
      </c>
      <c r="R6">
        <f>R3/24</f>
        <v>0</v>
      </c>
      <c r="S6">
        <f>S3/24</f>
        <v>4.1666666666666664E-2</v>
      </c>
      <c r="V6">
        <f>V3/120</f>
        <v>5.8925565098878951E-3</v>
      </c>
      <c r="W6">
        <f>W3/120</f>
        <v>-5.8925565098878951E-3</v>
      </c>
      <c r="Z6" s="46"/>
      <c r="AA6" s="46">
        <f>AA3/720</f>
        <v>1.3888888888888889E-3</v>
      </c>
      <c r="AD6" s="17">
        <v>0.70710678118654746</v>
      </c>
      <c r="AE6" s="17">
        <v>-0.70710678118654746</v>
      </c>
      <c r="AI6">
        <v>0.5</v>
      </c>
      <c r="AL6">
        <f>AL3/6</f>
        <v>0.11785113019775791</v>
      </c>
      <c r="AM6">
        <f>AM3/6</f>
        <v>-0.11785113019775791</v>
      </c>
      <c r="AP6">
        <f>AP3/24</f>
        <v>0</v>
      </c>
      <c r="AQ6">
        <f>AQ3/24</f>
        <v>4.1666666666666664E-2</v>
      </c>
      <c r="AT6">
        <f>AT3/120</f>
        <v>5.8925565098878951E-3</v>
      </c>
      <c r="AU6">
        <f>AU3/120</f>
        <v>-5.8925565098878951E-3</v>
      </c>
    </row>
    <row r="10" spans="2:47" x14ac:dyDescent="0.25">
      <c r="F10" s="17">
        <v>0.70710678118654746</v>
      </c>
      <c r="G10" s="17">
        <v>0.70710678118654746</v>
      </c>
      <c r="J10" s="17">
        <v>0.70710678118654746</v>
      </c>
      <c r="K10" s="17">
        <v>0.70710678118654746</v>
      </c>
      <c r="N10" s="46">
        <v>1</v>
      </c>
      <c r="O10" s="46"/>
      <c r="S10" t="s">
        <v>235</v>
      </c>
      <c r="T10">
        <f>B5+F5+J5+N5+R5+V5</f>
        <v>2.3725171345608596</v>
      </c>
      <c r="U10">
        <f>C5+G5+K5+O5+S5+W5</f>
        <v>0.83085046789419326</v>
      </c>
    </row>
    <row r="11" spans="2:47" x14ac:dyDescent="0.25">
      <c r="F11" s="17">
        <v>0.70710678118654746</v>
      </c>
      <c r="G11" s="17">
        <v>-0.70710678118654746</v>
      </c>
      <c r="J11" s="17">
        <v>0.70710678118654746</v>
      </c>
      <c r="K11" s="17">
        <v>-0.70710678118654746</v>
      </c>
      <c r="N11" s="46"/>
      <c r="O11" s="46">
        <v>1</v>
      </c>
      <c r="T11">
        <f>B6+F6+J6+N6+R6+V6</f>
        <v>0.83085046789419326</v>
      </c>
      <c r="U11">
        <f>C6+G6+K6+O6+S6+W6</f>
        <v>0.71081619877247337</v>
      </c>
    </row>
    <row r="12" spans="2:47" x14ac:dyDescent="0.25">
      <c r="M12" s="9"/>
    </row>
    <row r="13" spans="2:47" x14ac:dyDescent="0.25">
      <c r="N13" t="s">
        <v>0</v>
      </c>
    </row>
    <row r="15" spans="2:47" x14ac:dyDescent="0.25">
      <c r="Q15">
        <f>EXP(1)</f>
        <v>2.7182818284590451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K18"/>
  <sheetViews>
    <sheetView zoomScale="75" zoomScaleNormal="75" workbookViewId="0">
      <selection activeCell="AK5" sqref="AK5"/>
    </sheetView>
  </sheetViews>
  <sheetFormatPr defaultColWidth="5.7109375" defaultRowHeight="24.95" customHeight="1" x14ac:dyDescent="0.25"/>
  <cols>
    <col min="1" max="5" width="5.7109375" style="9"/>
    <col min="6" max="6" width="5.7109375" style="9" customWidth="1"/>
    <col min="7" max="16384" width="5.7109375" style="9"/>
  </cols>
  <sheetData>
    <row r="2" spans="1:37" ht="24.95" customHeight="1" x14ac:dyDescent="0.25">
      <c r="A2" s="21"/>
      <c r="C2" s="21"/>
    </row>
    <row r="3" spans="1:37" ht="24.95" customHeight="1" thickBot="1" x14ac:dyDescent="0.3">
      <c r="C3" s="21"/>
      <c r="D3" s="45"/>
      <c r="E3" s="40" t="s">
        <v>138</v>
      </c>
      <c r="J3" s="21"/>
      <c r="L3" s="39" t="s">
        <v>137</v>
      </c>
      <c r="M3" s="21"/>
      <c r="N3" s="21"/>
      <c r="O3" s="39"/>
      <c r="P3" s="39" t="s">
        <v>228</v>
      </c>
      <c r="Q3" s="39"/>
      <c r="R3" s="21"/>
      <c r="V3" s="40" t="s">
        <v>229</v>
      </c>
      <c r="X3" s="21"/>
      <c r="Y3" s="21"/>
      <c r="Z3" s="21"/>
      <c r="AA3" s="21"/>
      <c r="AB3" s="21"/>
      <c r="AC3" s="21"/>
    </row>
    <row r="4" spans="1:37" ht="24.95" customHeight="1" thickTop="1" x14ac:dyDescent="0.25">
      <c r="E4" s="23">
        <v>1</v>
      </c>
      <c r="F4" s="25"/>
      <c r="J4" s="21"/>
      <c r="K4" s="21"/>
      <c r="L4" s="23"/>
      <c r="M4" s="25">
        <v>1</v>
      </c>
      <c r="N4" s="21"/>
      <c r="O4" s="21"/>
      <c r="P4" s="23"/>
      <c r="Q4" s="26">
        <v>0.70710678118654702</v>
      </c>
      <c r="R4" s="26"/>
      <c r="S4" s="25">
        <v>0.70710678118654702</v>
      </c>
      <c r="U4" s="21"/>
      <c r="V4" s="31"/>
      <c r="W4" s="34">
        <v>0.70710678118654702</v>
      </c>
      <c r="X4" s="34"/>
      <c r="Y4" s="34">
        <v>0.70710678118654702</v>
      </c>
      <c r="Z4" s="34"/>
      <c r="AA4" s="34"/>
      <c r="AB4" s="34"/>
      <c r="AC4" s="36"/>
      <c r="AF4" s="20">
        <f>SQRT(1/8)</f>
        <v>0.35355339059327379</v>
      </c>
      <c r="AI4" s="20">
        <v>0.5</v>
      </c>
      <c r="AK4" s="42"/>
    </row>
    <row r="5" spans="1:37" ht="24.95" customHeight="1" thickBot="1" x14ac:dyDescent="0.3">
      <c r="E5" s="24"/>
      <c r="F5" s="27">
        <v>1</v>
      </c>
      <c r="J5" s="21"/>
      <c r="K5" s="21"/>
      <c r="L5" s="24">
        <v>1</v>
      </c>
      <c r="M5" s="27"/>
      <c r="N5" s="21"/>
      <c r="O5" s="21"/>
      <c r="P5" s="22">
        <v>0.70710678118654702</v>
      </c>
      <c r="Q5" s="21"/>
      <c r="R5" s="21">
        <v>0.70710678118654702</v>
      </c>
      <c r="S5" s="28"/>
      <c r="U5" s="21"/>
      <c r="V5" s="32">
        <v>0.70710678118654702</v>
      </c>
      <c r="W5" s="4"/>
      <c r="X5" s="4">
        <v>0.70710678118654702</v>
      </c>
      <c r="Y5" s="4"/>
      <c r="Z5" s="4"/>
      <c r="AA5" s="4"/>
      <c r="AB5" s="4"/>
      <c r="AC5" s="37"/>
      <c r="AF5" s="19">
        <f t="shared" ref="AF5:AF11" si="0">SQRT(1/8)</f>
        <v>0.35355339059327379</v>
      </c>
      <c r="AI5" s="19">
        <v>0.5</v>
      </c>
      <c r="AK5" s="43">
        <f>1/SQRT(2)</f>
        <v>0.70710678118654746</v>
      </c>
    </row>
    <row r="6" spans="1:37" ht="24.95" customHeight="1" thickTop="1" x14ac:dyDescent="0.25">
      <c r="J6" s="21"/>
      <c r="K6" s="21"/>
      <c r="L6" s="21"/>
      <c r="M6" s="21"/>
      <c r="N6" s="21"/>
      <c r="O6" s="21"/>
      <c r="P6" s="22"/>
      <c r="Q6" s="21">
        <v>0.70710678118654702</v>
      </c>
      <c r="R6" s="21"/>
      <c r="S6" s="28">
        <v>-0.70710678118654702</v>
      </c>
      <c r="U6" s="21"/>
      <c r="V6" s="32"/>
      <c r="W6" s="4">
        <v>0.70710678118654702</v>
      </c>
      <c r="X6" s="4"/>
      <c r="Y6" s="4">
        <v>-0.70710678118654702</v>
      </c>
      <c r="Z6" s="4"/>
      <c r="AA6" s="4"/>
      <c r="AB6" s="4"/>
      <c r="AC6" s="37"/>
      <c r="AF6" s="19">
        <f t="shared" si="0"/>
        <v>0.35355339059327379</v>
      </c>
      <c r="AI6" s="19"/>
      <c r="AK6" s="43"/>
    </row>
    <row r="7" spans="1:37" ht="24.95" customHeight="1" thickBot="1" x14ac:dyDescent="0.3">
      <c r="E7" s="40" t="s">
        <v>137</v>
      </c>
      <c r="J7" s="21"/>
      <c r="K7" s="21"/>
      <c r="L7" s="21"/>
      <c r="M7" s="21"/>
      <c r="N7" s="21"/>
      <c r="O7" s="21"/>
      <c r="P7" s="24">
        <v>0.70710678118654702</v>
      </c>
      <c r="Q7" s="29"/>
      <c r="R7" s="29">
        <v>-0.70710678118654702</v>
      </c>
      <c r="S7" s="27"/>
      <c r="U7" s="21"/>
      <c r="V7" s="32">
        <v>0.70710678118654702</v>
      </c>
      <c r="W7" s="4"/>
      <c r="X7" s="4">
        <v>-0.70710678118654702</v>
      </c>
      <c r="Y7" s="4"/>
      <c r="Z7" s="4"/>
      <c r="AA7" s="4"/>
      <c r="AB7" s="4"/>
      <c r="AC7" s="37"/>
      <c r="AF7" s="19">
        <f t="shared" si="0"/>
        <v>0.35355339059327379</v>
      </c>
      <c r="AI7" s="19"/>
      <c r="AK7" s="43">
        <f>1/SQRT(2)</f>
        <v>0.70710678118654746</v>
      </c>
    </row>
    <row r="8" spans="1:37" ht="24.95" customHeight="1" thickTop="1" x14ac:dyDescent="0.25">
      <c r="E8" s="23"/>
      <c r="F8" s="25">
        <v>1</v>
      </c>
      <c r="J8" s="21"/>
      <c r="K8" s="21"/>
      <c r="L8" s="21"/>
      <c r="M8" s="21"/>
      <c r="N8" s="21"/>
      <c r="O8" s="21"/>
      <c r="P8" s="21"/>
      <c r="Q8" s="21"/>
      <c r="R8" s="21"/>
      <c r="U8" s="21"/>
      <c r="V8" s="32"/>
      <c r="W8" s="4"/>
      <c r="X8" s="4"/>
      <c r="Y8" s="4"/>
      <c r="Z8" s="4"/>
      <c r="AA8" s="4">
        <v>0.70710678118654702</v>
      </c>
      <c r="AB8" s="4"/>
      <c r="AC8" s="37">
        <v>0.70710678118654702</v>
      </c>
      <c r="AF8" s="19">
        <f t="shared" si="0"/>
        <v>0.35355339059327379</v>
      </c>
      <c r="AI8" s="19">
        <v>0.25</v>
      </c>
      <c r="AK8" s="43"/>
    </row>
    <row r="9" spans="1:37" ht="24.95" customHeight="1" thickBot="1" x14ac:dyDescent="0.3">
      <c r="E9" s="24">
        <v>1</v>
      </c>
      <c r="F9" s="27"/>
      <c r="J9" s="21"/>
      <c r="K9" s="21"/>
      <c r="L9" s="21"/>
      <c r="M9" s="21"/>
      <c r="N9" s="21"/>
      <c r="O9" s="21"/>
      <c r="P9" s="21"/>
      <c r="Q9" s="21"/>
      <c r="R9" s="21"/>
      <c r="U9" s="21"/>
      <c r="V9" s="32"/>
      <c r="W9" s="4"/>
      <c r="X9" s="4"/>
      <c r="Y9" s="4"/>
      <c r="Z9" s="4">
        <v>0.70710678118654702</v>
      </c>
      <c r="AA9" s="4"/>
      <c r="AB9" s="4">
        <v>0.70710678118654702</v>
      </c>
      <c r="AC9" s="37"/>
      <c r="AF9" s="19">
        <f t="shared" si="0"/>
        <v>0.35355339059327379</v>
      </c>
      <c r="AI9" s="19">
        <v>0.5</v>
      </c>
      <c r="AK9" s="43"/>
    </row>
    <row r="10" spans="1:37" ht="24.95" customHeight="1" thickTop="1" x14ac:dyDescent="0.25">
      <c r="J10" s="21"/>
      <c r="K10" s="21"/>
      <c r="L10" s="21"/>
      <c r="M10" s="21"/>
      <c r="N10" s="21"/>
      <c r="O10" s="21"/>
      <c r="P10" s="21"/>
      <c r="Q10" s="21"/>
      <c r="R10" s="21"/>
      <c r="U10" s="21"/>
      <c r="V10" s="32"/>
      <c r="W10" s="4"/>
      <c r="X10" s="4"/>
      <c r="Y10" s="4"/>
      <c r="Z10" s="4"/>
      <c r="AA10" s="4">
        <v>0.70710678118654702</v>
      </c>
      <c r="AB10" s="4"/>
      <c r="AC10" s="37">
        <v>-0.70710678118654702</v>
      </c>
      <c r="AF10" s="19">
        <f t="shared" si="0"/>
        <v>0.35355339059327379</v>
      </c>
      <c r="AI10" s="19">
        <v>0.25</v>
      </c>
      <c r="AK10" s="43"/>
    </row>
    <row r="11" spans="1:37" ht="24.95" customHeight="1" thickBot="1" x14ac:dyDescent="0.3">
      <c r="E11" s="40" t="s">
        <v>146</v>
      </c>
      <c r="J11" s="21"/>
      <c r="K11" s="21"/>
      <c r="L11" s="21"/>
      <c r="M11" s="21"/>
      <c r="N11" s="21"/>
      <c r="O11" s="21"/>
      <c r="P11" s="21"/>
      <c r="Q11" s="21"/>
      <c r="R11" s="21"/>
      <c r="U11" s="21"/>
      <c r="V11" s="33"/>
      <c r="W11" s="35"/>
      <c r="X11" s="35"/>
      <c r="Y11" s="35"/>
      <c r="Z11" s="35">
        <v>0.70710678118654702</v>
      </c>
      <c r="AA11" s="35"/>
      <c r="AB11" s="35">
        <v>-0.70710678118654702</v>
      </c>
      <c r="AC11" s="38"/>
      <c r="AF11" s="18">
        <f t="shared" si="0"/>
        <v>0.35355339059327379</v>
      </c>
      <c r="AI11" s="18"/>
      <c r="AK11" s="44"/>
    </row>
    <row r="12" spans="1:37" ht="24.95" customHeight="1" thickTop="1" x14ac:dyDescent="0.25">
      <c r="E12" s="23" t="s">
        <v>0</v>
      </c>
      <c r="F12" s="25" t="str">
        <f>COMPLEX(0,-1)</f>
        <v>-i</v>
      </c>
      <c r="J12" s="21"/>
      <c r="K12" s="21"/>
      <c r="L12" s="21"/>
      <c r="M12" s="21"/>
      <c r="R12" s="21"/>
      <c r="U12" s="21"/>
      <c r="V12" s="21"/>
      <c r="W12" s="21"/>
      <c r="X12" s="21"/>
      <c r="Y12" s="21"/>
      <c r="Z12" s="21"/>
      <c r="AA12" s="21"/>
      <c r="AB12" s="21"/>
      <c r="AC12" s="21"/>
    </row>
    <row r="13" spans="1:37" ht="24.95" customHeight="1" thickBot="1" x14ac:dyDescent="0.3">
      <c r="E13" s="24" t="str">
        <f>COMPLEX(0,1)</f>
        <v>i</v>
      </c>
      <c r="F13" s="30"/>
      <c r="J13" s="21"/>
      <c r="K13" s="21"/>
      <c r="L13" s="21"/>
      <c r="M13" s="21"/>
      <c r="R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7" ht="24.95" customHeight="1" thickTop="1" x14ac:dyDescent="0.25">
      <c r="J14" s="21"/>
      <c r="K14" s="21"/>
    </row>
    <row r="15" spans="1:37" ht="24.95" customHeight="1" thickBot="1" x14ac:dyDescent="0.3">
      <c r="C15" s="21"/>
      <c r="D15" s="21"/>
      <c r="E15" s="39" t="s">
        <v>148</v>
      </c>
      <c r="F15" s="21"/>
      <c r="G15" s="21"/>
      <c r="H15" s="21"/>
      <c r="P15" s="41" t="s">
        <v>138</v>
      </c>
    </row>
    <row r="16" spans="1:37" ht="24.95" customHeight="1" thickTop="1" x14ac:dyDescent="0.25">
      <c r="C16" s="21"/>
      <c r="D16" s="21"/>
      <c r="E16" s="23">
        <f>1/SQRT(2)</f>
        <v>0.70710678118654746</v>
      </c>
      <c r="F16" s="25">
        <f>1/SQRT(2)</f>
        <v>0.70710678118654746</v>
      </c>
      <c r="G16" s="21"/>
      <c r="H16" s="21"/>
      <c r="M16" s="40" t="s">
        <v>230</v>
      </c>
      <c r="P16" s="41" t="s">
        <v>148</v>
      </c>
    </row>
    <row r="17" spans="3:16" ht="24.95" customHeight="1" thickBot="1" x14ac:dyDescent="0.3">
      <c r="C17" s="21"/>
      <c r="D17" s="21"/>
      <c r="E17" s="24">
        <f>1/SQRT(2)</f>
        <v>0.70710678118654746</v>
      </c>
      <c r="F17" s="27">
        <f>-1/SQRT(2)</f>
        <v>-0.70710678118654746</v>
      </c>
      <c r="G17" s="21"/>
      <c r="H17" s="21"/>
      <c r="P17" s="41" t="s">
        <v>137</v>
      </c>
    </row>
    <row r="18" spans="3:16" ht="24.95" customHeight="1" thickTop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H17" sqref="H17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K110"/>
  <sheetViews>
    <sheetView topLeftCell="B1" zoomScale="50" zoomScaleNormal="50" workbookViewId="0">
      <selection activeCell="B1" sqref="A1:XFD1048576"/>
    </sheetView>
  </sheetViews>
  <sheetFormatPr defaultColWidth="5.7109375" defaultRowHeight="24.95" customHeight="1" x14ac:dyDescent="0.25"/>
  <cols>
    <col min="1" max="16384" width="5.7109375" style="10"/>
  </cols>
  <sheetData>
    <row r="2" spans="2:63" ht="24.95" customHeight="1" x14ac:dyDescent="0.25">
      <c r="C2" s="10" t="s">
        <v>188</v>
      </c>
      <c r="M2" s="10" t="s">
        <v>189</v>
      </c>
      <c r="AA2" s="10" t="s">
        <v>190</v>
      </c>
    </row>
    <row r="4" spans="2:63" ht="24.95" customHeight="1" x14ac:dyDescent="0.25">
      <c r="C4" s="10" t="s">
        <v>191</v>
      </c>
      <c r="M4" s="10" t="s">
        <v>192</v>
      </c>
      <c r="AA4" s="10" t="s">
        <v>193</v>
      </c>
    </row>
    <row r="5" spans="2:63" ht="24.95" customHeight="1" x14ac:dyDescent="0.25">
      <c r="F5" s="10">
        <v>1</v>
      </c>
      <c r="J5" s="13" t="s">
        <v>215</v>
      </c>
      <c r="P5" s="10">
        <v>1</v>
      </c>
      <c r="AD5" s="10">
        <v>1</v>
      </c>
      <c r="AT5" s="10" t="s">
        <v>0</v>
      </c>
      <c r="AV5"/>
      <c r="AW5"/>
      <c r="AX5" t="s">
        <v>203</v>
      </c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2:63" ht="24.95" customHeight="1" x14ac:dyDescent="0.25">
      <c r="B6" s="11"/>
      <c r="I6" s="10">
        <v>1</v>
      </c>
      <c r="J6" s="13" t="s">
        <v>216</v>
      </c>
      <c r="U6" s="10">
        <v>1</v>
      </c>
      <c r="AM6" s="10">
        <v>1</v>
      </c>
      <c r="AV6"/>
      <c r="AW6"/>
      <c r="AX6" t="s">
        <v>204</v>
      </c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2:63" ht="24.95" customHeight="1" x14ac:dyDescent="0.25">
      <c r="H7" s="10">
        <v>1</v>
      </c>
      <c r="J7" s="13" t="s">
        <v>217</v>
      </c>
      <c r="R7" s="10">
        <v>1</v>
      </c>
      <c r="AF7" s="10">
        <v>1</v>
      </c>
      <c r="AV7"/>
      <c r="AW7"/>
      <c r="AX7" t="s">
        <v>205</v>
      </c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2:63" ht="24.95" customHeight="1" x14ac:dyDescent="0.25">
      <c r="G8" s="10">
        <v>1</v>
      </c>
      <c r="J8" s="13" t="s">
        <v>218</v>
      </c>
      <c r="W8" s="10">
        <v>1</v>
      </c>
      <c r="AO8" s="10">
        <v>1</v>
      </c>
      <c r="AV8"/>
      <c r="AW8"/>
      <c r="AX8" t="s">
        <v>206</v>
      </c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2:63" ht="24.95" customHeight="1" x14ac:dyDescent="0.25">
      <c r="T9" s="10">
        <v>1</v>
      </c>
      <c r="AH9" s="10">
        <v>1</v>
      </c>
      <c r="AV9"/>
      <c r="AW9"/>
      <c r="AX9" t="s">
        <v>207</v>
      </c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2:63" ht="24.95" customHeight="1" x14ac:dyDescent="0.25">
      <c r="C10" s="10" t="s">
        <v>194</v>
      </c>
      <c r="Q10" s="10">
        <v>1</v>
      </c>
      <c r="AQ10" s="10">
        <v>1</v>
      </c>
      <c r="AV10"/>
      <c r="AW10"/>
      <c r="AX10" t="s">
        <v>208</v>
      </c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2:63" ht="24.95" customHeight="1" x14ac:dyDescent="0.25">
      <c r="F11" s="10">
        <v>1</v>
      </c>
      <c r="V11" s="10">
        <v>1</v>
      </c>
      <c r="AJ11" s="10">
        <v>1</v>
      </c>
      <c r="AV11"/>
      <c r="AW11"/>
      <c r="AX11" t="s">
        <v>209</v>
      </c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2:63" ht="24.95" customHeight="1" x14ac:dyDescent="0.25">
      <c r="G12" s="10">
        <v>1</v>
      </c>
      <c r="S12" s="10">
        <v>1</v>
      </c>
      <c r="AS12" s="10">
        <v>1</v>
      </c>
      <c r="AV12"/>
      <c r="AW12"/>
      <c r="AX12" t="s">
        <v>210</v>
      </c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2:63" ht="24.95" customHeight="1" x14ac:dyDescent="0.25">
      <c r="I13" s="10">
        <v>1</v>
      </c>
      <c r="AL13" s="10">
        <v>1</v>
      </c>
      <c r="AV13"/>
      <c r="AW13"/>
      <c r="AX13" t="s">
        <v>211</v>
      </c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2:63" ht="24.95" customHeight="1" x14ac:dyDescent="0.25">
      <c r="H14" s="10">
        <v>1</v>
      </c>
      <c r="M14" s="10" t="s">
        <v>195</v>
      </c>
      <c r="AE14" s="10">
        <v>1</v>
      </c>
      <c r="AV14"/>
      <c r="AW14"/>
      <c r="AX14" t="s">
        <v>212</v>
      </c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2:63" ht="24.95" customHeight="1" x14ac:dyDescent="0.25">
      <c r="P15" s="10">
        <v>1</v>
      </c>
      <c r="AN15" s="10">
        <v>1</v>
      </c>
      <c r="AV15"/>
      <c r="AW15"/>
      <c r="AX15" t="s">
        <v>213</v>
      </c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2:63" ht="24.95" customHeight="1" x14ac:dyDescent="0.25">
      <c r="Q16" s="10">
        <v>1</v>
      </c>
      <c r="AG16" s="10">
        <v>1</v>
      </c>
      <c r="AV16"/>
      <c r="AW16"/>
      <c r="AX16" t="s">
        <v>214</v>
      </c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3:63" ht="24.95" customHeight="1" x14ac:dyDescent="0.25">
      <c r="V17" s="10">
        <v>1</v>
      </c>
      <c r="AP17" s="10">
        <v>1</v>
      </c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3:63" ht="24.95" customHeight="1" x14ac:dyDescent="0.25">
      <c r="W18" s="10">
        <v>1</v>
      </c>
      <c r="AI18" s="10">
        <v>1</v>
      </c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3:63" ht="24.95" customHeight="1" x14ac:dyDescent="0.25">
      <c r="T19" s="10">
        <v>1</v>
      </c>
      <c r="AR19" s="10">
        <v>1</v>
      </c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3:63" ht="24.95" customHeight="1" x14ac:dyDescent="0.25">
      <c r="U20" s="10">
        <v>1</v>
      </c>
      <c r="AK20" s="10">
        <v>1</v>
      </c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3:63" ht="24.95" customHeight="1" x14ac:dyDescent="0.25">
      <c r="R21" s="10">
        <v>1</v>
      </c>
    </row>
    <row r="22" spans="13:63" ht="24.95" customHeight="1" x14ac:dyDescent="0.25">
      <c r="S22" s="10">
        <v>1</v>
      </c>
      <c r="AA22" s="10" t="s">
        <v>196</v>
      </c>
    </row>
    <row r="23" spans="13:63" ht="24.95" customHeight="1" x14ac:dyDescent="0.25">
      <c r="AD23" s="10">
        <v>1</v>
      </c>
    </row>
    <row r="24" spans="13:63" ht="24.95" customHeight="1" x14ac:dyDescent="0.25">
      <c r="M24" s="10" t="s">
        <v>197</v>
      </c>
      <c r="AE24" s="10">
        <v>1</v>
      </c>
    </row>
    <row r="25" spans="13:63" ht="24.95" customHeight="1" x14ac:dyDescent="0.25">
      <c r="P25" s="10">
        <v>1</v>
      </c>
      <c r="AN25" s="10">
        <v>1</v>
      </c>
    </row>
    <row r="26" spans="13:63" ht="24.95" customHeight="1" x14ac:dyDescent="0.25">
      <c r="Q26" s="10">
        <v>1</v>
      </c>
      <c r="AO26" s="10">
        <v>1</v>
      </c>
    </row>
    <row r="27" spans="13:63" ht="24.95" customHeight="1" x14ac:dyDescent="0.25">
      <c r="R27" s="10">
        <v>1</v>
      </c>
      <c r="AH27" s="10">
        <v>1</v>
      </c>
    </row>
    <row r="28" spans="13:63" ht="24.95" customHeight="1" x14ac:dyDescent="0.25">
      <c r="S28" s="10">
        <v>1</v>
      </c>
      <c r="AI28" s="10">
        <v>1</v>
      </c>
    </row>
    <row r="29" spans="13:63" ht="24.95" customHeight="1" x14ac:dyDescent="0.25">
      <c r="U29" s="10">
        <v>1</v>
      </c>
      <c r="AR29" s="10">
        <v>1</v>
      </c>
    </row>
    <row r="30" spans="13:63" ht="24.95" customHeight="1" x14ac:dyDescent="0.25">
      <c r="T30" s="10">
        <v>1</v>
      </c>
      <c r="AS30" s="10">
        <v>1</v>
      </c>
    </row>
    <row r="31" spans="13:63" ht="24.95" customHeight="1" x14ac:dyDescent="0.25">
      <c r="W31" s="10">
        <v>1</v>
      </c>
      <c r="AL31" s="10">
        <v>1</v>
      </c>
    </row>
    <row r="32" spans="13:63" ht="24.95" customHeight="1" x14ac:dyDescent="0.25">
      <c r="V32" s="10">
        <v>1</v>
      </c>
      <c r="AM32" s="10">
        <v>1</v>
      </c>
    </row>
    <row r="33" spans="13:45" ht="24.95" customHeight="1" x14ac:dyDescent="0.25">
      <c r="AF33" s="10">
        <v>1</v>
      </c>
    </row>
    <row r="34" spans="13:45" ht="24.95" customHeight="1" x14ac:dyDescent="0.25">
      <c r="M34" s="10" t="s">
        <v>198</v>
      </c>
      <c r="AG34" s="10">
        <v>1</v>
      </c>
    </row>
    <row r="35" spans="13:45" ht="24.95" customHeight="1" x14ac:dyDescent="0.25">
      <c r="P35" s="10">
        <v>1</v>
      </c>
      <c r="AP35" s="10">
        <v>1</v>
      </c>
    </row>
    <row r="36" spans="13:45" ht="24.95" customHeight="1" x14ac:dyDescent="0.25">
      <c r="Q36" s="10">
        <v>1</v>
      </c>
      <c r="AC36" s="10" t="s">
        <v>0</v>
      </c>
      <c r="AQ36" s="10">
        <v>1</v>
      </c>
    </row>
    <row r="37" spans="13:45" ht="24.95" customHeight="1" x14ac:dyDescent="0.25">
      <c r="R37" s="10">
        <v>1</v>
      </c>
      <c r="AJ37" s="10">
        <v>1</v>
      </c>
    </row>
    <row r="38" spans="13:45" ht="24.95" customHeight="1" x14ac:dyDescent="0.25">
      <c r="S38" s="10">
        <v>1</v>
      </c>
      <c r="AK38" s="10">
        <v>1</v>
      </c>
    </row>
    <row r="39" spans="13:45" ht="24.95" customHeight="1" x14ac:dyDescent="0.25">
      <c r="V39" s="10">
        <v>1</v>
      </c>
    </row>
    <row r="40" spans="13:45" ht="24.95" customHeight="1" x14ac:dyDescent="0.25">
      <c r="W40" s="10">
        <v>1</v>
      </c>
      <c r="AA40" s="10" t="s">
        <v>199</v>
      </c>
    </row>
    <row r="41" spans="13:45" ht="24.95" customHeight="1" x14ac:dyDescent="0.25">
      <c r="T41" s="10">
        <v>1</v>
      </c>
      <c r="AD41" s="10">
        <v>1</v>
      </c>
    </row>
    <row r="42" spans="13:45" ht="24.95" customHeight="1" x14ac:dyDescent="0.25">
      <c r="U42" s="10">
        <v>1</v>
      </c>
      <c r="AE42" s="10">
        <v>1</v>
      </c>
    </row>
    <row r="43" spans="13:45" ht="24.95" customHeight="1" x14ac:dyDescent="0.25">
      <c r="AF43" s="10">
        <v>1</v>
      </c>
    </row>
    <row r="44" spans="13:45" ht="24.95" customHeight="1" x14ac:dyDescent="0.25">
      <c r="AG44" s="10">
        <v>1</v>
      </c>
    </row>
    <row r="45" spans="13:45" ht="24.95" customHeight="1" x14ac:dyDescent="0.25">
      <c r="AP45" s="10">
        <v>1</v>
      </c>
    </row>
    <row r="46" spans="13:45" ht="24.95" customHeight="1" x14ac:dyDescent="0.25">
      <c r="AQ46" s="10">
        <v>1</v>
      </c>
    </row>
    <row r="47" spans="13:45" ht="24.95" customHeight="1" x14ac:dyDescent="0.25">
      <c r="AR47" s="10">
        <v>1</v>
      </c>
    </row>
    <row r="48" spans="13:45" ht="24.95" customHeight="1" x14ac:dyDescent="0.25">
      <c r="AS48" s="10">
        <v>1</v>
      </c>
    </row>
    <row r="49" spans="27:48" ht="24.95" customHeight="1" x14ac:dyDescent="0.25">
      <c r="AL49" s="10">
        <v>1</v>
      </c>
    </row>
    <row r="50" spans="27:48" ht="24.95" customHeight="1" x14ac:dyDescent="0.25">
      <c r="AM50" s="10">
        <v>1</v>
      </c>
    </row>
    <row r="51" spans="27:48" ht="24.95" customHeight="1" x14ac:dyDescent="0.25">
      <c r="AN51" s="10">
        <v>1</v>
      </c>
    </row>
    <row r="52" spans="27:48" ht="24.95" customHeight="1" x14ac:dyDescent="0.25">
      <c r="AO52" s="10">
        <v>1</v>
      </c>
    </row>
    <row r="53" spans="27:48" ht="24.95" customHeight="1" x14ac:dyDescent="0.25">
      <c r="AH53" s="10">
        <v>1</v>
      </c>
    </row>
    <row r="54" spans="27:48" ht="24.95" customHeight="1" x14ac:dyDescent="0.25">
      <c r="AI54" s="10">
        <v>1</v>
      </c>
    </row>
    <row r="55" spans="27:48" ht="24.95" customHeight="1" x14ac:dyDescent="0.25">
      <c r="AJ55" s="10">
        <v>1</v>
      </c>
    </row>
    <row r="56" spans="27:48" ht="24.95" customHeight="1" x14ac:dyDescent="0.25">
      <c r="AK56" s="10">
        <v>1</v>
      </c>
    </row>
    <row r="58" spans="27:48" ht="24.95" customHeight="1" x14ac:dyDescent="0.25">
      <c r="AA58" s="10" t="s">
        <v>200</v>
      </c>
    </row>
    <row r="59" spans="27:48" ht="24.95" customHeight="1" x14ac:dyDescent="0.25">
      <c r="AD59" s="12">
        <v>1</v>
      </c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V59" s="13" t="s">
        <v>165</v>
      </c>
    </row>
    <row r="60" spans="27:48" ht="24.95" customHeight="1" x14ac:dyDescent="0.25">
      <c r="AD60" s="12"/>
      <c r="AE60" s="12">
        <v>1</v>
      </c>
      <c r="AF60" s="12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V60" s="13" t="s">
        <v>166</v>
      </c>
    </row>
    <row r="61" spans="27:48" ht="24.95" customHeight="1" x14ac:dyDescent="0.25">
      <c r="AD61" s="11"/>
      <c r="AE61" s="11"/>
      <c r="AF61" s="11">
        <v>1</v>
      </c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V61" s="13" t="s">
        <v>167</v>
      </c>
    </row>
    <row r="62" spans="27:48" ht="24.95" customHeight="1" x14ac:dyDescent="0.25">
      <c r="AD62" s="11"/>
      <c r="AE62" s="11"/>
      <c r="AF62" s="11"/>
      <c r="AG62" s="11">
        <v>1</v>
      </c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V62" s="13" t="s">
        <v>168</v>
      </c>
    </row>
    <row r="63" spans="27:48" ht="24.95" customHeight="1" x14ac:dyDescent="0.25">
      <c r="AD63" s="11"/>
      <c r="AE63" s="11"/>
      <c r="AF63" s="11"/>
      <c r="AG63" s="11"/>
      <c r="AH63" s="11">
        <v>1</v>
      </c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V63" s="13" t="s">
        <v>169</v>
      </c>
    </row>
    <row r="64" spans="27:48" ht="24.95" customHeight="1" x14ac:dyDescent="0.25">
      <c r="AD64" s="11"/>
      <c r="AE64" s="11"/>
      <c r="AF64" s="11"/>
      <c r="AG64" s="11"/>
      <c r="AH64" s="11"/>
      <c r="AI64" s="11">
        <v>1</v>
      </c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V64" s="13" t="s">
        <v>170</v>
      </c>
    </row>
    <row r="65" spans="27:48" ht="24.95" customHeight="1" x14ac:dyDescent="0.25">
      <c r="AD65" s="11"/>
      <c r="AE65" s="11"/>
      <c r="AF65" s="11"/>
      <c r="AG65" s="11"/>
      <c r="AH65" s="11"/>
      <c r="AI65" s="11"/>
      <c r="AJ65" s="11">
        <v>1</v>
      </c>
      <c r="AK65" s="11"/>
      <c r="AL65" s="11"/>
      <c r="AM65" s="11"/>
      <c r="AN65" s="11"/>
      <c r="AO65" s="11"/>
      <c r="AP65" s="11"/>
      <c r="AQ65" s="11"/>
      <c r="AR65" s="11"/>
      <c r="AS65" s="11"/>
      <c r="AV65" s="13" t="s">
        <v>171</v>
      </c>
    </row>
    <row r="66" spans="27:48" ht="24.95" customHeight="1" x14ac:dyDescent="0.25">
      <c r="AD66" s="11"/>
      <c r="AE66" s="11"/>
      <c r="AF66" s="11"/>
      <c r="AG66" s="11"/>
      <c r="AH66" s="11"/>
      <c r="AI66" s="11"/>
      <c r="AJ66" s="11"/>
      <c r="AK66" s="11">
        <v>1</v>
      </c>
      <c r="AL66" s="11"/>
      <c r="AM66" s="11"/>
      <c r="AN66" s="11"/>
      <c r="AO66" s="11"/>
      <c r="AP66" s="11"/>
      <c r="AQ66" s="11"/>
      <c r="AR66" s="11"/>
      <c r="AS66" s="11"/>
      <c r="AV66" s="13" t="s">
        <v>172</v>
      </c>
    </row>
    <row r="67" spans="27:48" ht="24.95" customHeight="1" x14ac:dyDescent="0.25">
      <c r="AD67" s="11"/>
      <c r="AE67" s="11"/>
      <c r="AF67" s="11"/>
      <c r="AG67" s="11"/>
      <c r="AH67" s="11"/>
      <c r="AI67" s="11"/>
      <c r="AJ67" s="11"/>
      <c r="AK67" s="11"/>
      <c r="AL67" s="11"/>
      <c r="AM67" s="11">
        <v>1</v>
      </c>
      <c r="AN67" s="11"/>
      <c r="AO67" s="11"/>
      <c r="AP67" s="11"/>
      <c r="AQ67" s="11"/>
      <c r="AR67" s="11"/>
      <c r="AS67" s="11"/>
      <c r="AV67" s="13" t="s">
        <v>173</v>
      </c>
    </row>
    <row r="68" spans="27:48" ht="24.95" customHeight="1" x14ac:dyDescent="0.25">
      <c r="AD68" s="11"/>
      <c r="AE68" s="11"/>
      <c r="AF68" s="11"/>
      <c r="AG68" s="11"/>
      <c r="AH68" s="11"/>
      <c r="AI68" s="11"/>
      <c r="AJ68" s="11"/>
      <c r="AK68" s="11"/>
      <c r="AL68" s="11">
        <v>1</v>
      </c>
      <c r="AM68" s="11"/>
      <c r="AN68" s="11"/>
      <c r="AO68" s="11"/>
      <c r="AP68" s="11"/>
      <c r="AQ68" s="11"/>
      <c r="AR68" s="11"/>
      <c r="AS68" s="11"/>
      <c r="AV68" s="13" t="s">
        <v>174</v>
      </c>
    </row>
    <row r="69" spans="27:48" ht="24.95" customHeight="1" x14ac:dyDescent="0.25"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>
        <v>1</v>
      </c>
      <c r="AP69" s="11"/>
      <c r="AQ69" s="11"/>
      <c r="AR69" s="11"/>
      <c r="AS69" s="11"/>
      <c r="AV69" s="13" t="s">
        <v>175</v>
      </c>
    </row>
    <row r="70" spans="27:48" ht="24.95" customHeight="1" x14ac:dyDescent="0.25"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>
        <v>1</v>
      </c>
      <c r="AO70" s="11"/>
      <c r="AP70" s="11"/>
      <c r="AQ70" s="11"/>
      <c r="AR70" s="11"/>
      <c r="AS70" s="11"/>
      <c r="AV70" s="13" t="s">
        <v>176</v>
      </c>
    </row>
    <row r="71" spans="27:48" ht="24.95" customHeight="1" x14ac:dyDescent="0.25"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>
        <v>1</v>
      </c>
      <c r="AR71" s="11"/>
      <c r="AS71" s="11"/>
      <c r="AV71" s="13" t="s">
        <v>177</v>
      </c>
    </row>
    <row r="72" spans="27:48" ht="24.95" customHeight="1" x14ac:dyDescent="0.25"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>
        <v>1</v>
      </c>
      <c r="AQ72" s="11"/>
      <c r="AR72" s="11"/>
      <c r="AS72" s="11"/>
      <c r="AV72" s="13" t="s">
        <v>178</v>
      </c>
    </row>
    <row r="73" spans="27:48" ht="24.95" customHeight="1" x14ac:dyDescent="0.25"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>
        <v>1</v>
      </c>
      <c r="AV73" s="13" t="s">
        <v>179</v>
      </c>
    </row>
    <row r="74" spans="27:48" ht="24.95" customHeight="1" x14ac:dyDescent="0.25"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>
        <v>1</v>
      </c>
      <c r="AS74" s="11"/>
      <c r="AV74" s="13" t="s">
        <v>180</v>
      </c>
    </row>
    <row r="75" spans="27:48" ht="24.95" customHeight="1" x14ac:dyDescent="0.25">
      <c r="AP75" s="10" t="s">
        <v>0</v>
      </c>
    </row>
    <row r="76" spans="27:48" ht="24.95" customHeight="1" x14ac:dyDescent="0.25">
      <c r="AA76" s="10" t="s">
        <v>201</v>
      </c>
    </row>
    <row r="77" spans="27:48" ht="24.95" customHeight="1" x14ac:dyDescent="0.25">
      <c r="AD77" s="10">
        <v>1</v>
      </c>
      <c r="AV77" s="13" t="s">
        <v>165</v>
      </c>
    </row>
    <row r="78" spans="27:48" ht="24.95" customHeight="1" x14ac:dyDescent="0.25">
      <c r="AE78" s="10">
        <v>1</v>
      </c>
      <c r="AV78" s="13" t="s">
        <v>166</v>
      </c>
    </row>
    <row r="79" spans="27:48" ht="24.95" customHeight="1" x14ac:dyDescent="0.25">
      <c r="AF79" s="10">
        <v>1</v>
      </c>
      <c r="AV79" s="13" t="s">
        <v>167</v>
      </c>
    </row>
    <row r="80" spans="27:48" ht="24.95" customHeight="1" x14ac:dyDescent="0.25">
      <c r="AG80" s="10">
        <v>1</v>
      </c>
      <c r="AV80" s="13" t="s">
        <v>168</v>
      </c>
    </row>
    <row r="81" spans="27:48" ht="24.95" customHeight="1" x14ac:dyDescent="0.25">
      <c r="AH81" s="10">
        <v>1</v>
      </c>
      <c r="AV81" s="13" t="s">
        <v>169</v>
      </c>
    </row>
    <row r="82" spans="27:48" ht="24.95" customHeight="1" x14ac:dyDescent="0.25">
      <c r="AI82" s="10">
        <v>1</v>
      </c>
      <c r="AV82" s="13" t="s">
        <v>170</v>
      </c>
    </row>
    <row r="83" spans="27:48" ht="24.95" customHeight="1" x14ac:dyDescent="0.25">
      <c r="AJ83" s="10">
        <v>1</v>
      </c>
      <c r="AV83" s="13" t="s">
        <v>171</v>
      </c>
    </row>
    <row r="84" spans="27:48" ht="24.95" customHeight="1" x14ac:dyDescent="0.25">
      <c r="AK84" s="10">
        <v>1</v>
      </c>
      <c r="AV84" s="13" t="s">
        <v>172</v>
      </c>
    </row>
    <row r="85" spans="27:48" ht="24.95" customHeight="1" x14ac:dyDescent="0.25">
      <c r="AN85" s="10">
        <v>1</v>
      </c>
      <c r="AV85" s="13" t="s">
        <v>173</v>
      </c>
    </row>
    <row r="86" spans="27:48" ht="24.95" customHeight="1" x14ac:dyDescent="0.25">
      <c r="AO86" s="10">
        <v>1</v>
      </c>
      <c r="AV86" s="13" t="s">
        <v>174</v>
      </c>
    </row>
    <row r="87" spans="27:48" ht="24.95" customHeight="1" x14ac:dyDescent="0.25">
      <c r="AL87" s="10">
        <v>1</v>
      </c>
      <c r="AV87" s="13" t="s">
        <v>175</v>
      </c>
    </row>
    <row r="88" spans="27:48" ht="24.95" customHeight="1" x14ac:dyDescent="0.25">
      <c r="AM88" s="10">
        <v>1</v>
      </c>
      <c r="AV88" s="13" t="s">
        <v>176</v>
      </c>
    </row>
    <row r="89" spans="27:48" ht="24.95" customHeight="1" x14ac:dyDescent="0.25">
      <c r="AR89" s="10">
        <v>1</v>
      </c>
      <c r="AV89" s="13" t="s">
        <v>177</v>
      </c>
    </row>
    <row r="90" spans="27:48" ht="24.95" customHeight="1" x14ac:dyDescent="0.25">
      <c r="AS90" s="10">
        <v>1</v>
      </c>
      <c r="AV90" s="13" t="s">
        <v>178</v>
      </c>
    </row>
    <row r="91" spans="27:48" ht="24.95" customHeight="1" x14ac:dyDescent="0.25">
      <c r="AP91" s="10">
        <v>1</v>
      </c>
      <c r="AV91" s="13" t="s">
        <v>179</v>
      </c>
    </row>
    <row r="92" spans="27:48" ht="24.95" customHeight="1" x14ac:dyDescent="0.25">
      <c r="AQ92" s="10">
        <v>1</v>
      </c>
      <c r="AV92" s="13" t="s">
        <v>180</v>
      </c>
    </row>
    <row r="94" spans="27:48" ht="24.95" customHeight="1" x14ac:dyDescent="0.25">
      <c r="AA94" s="10" t="s">
        <v>202</v>
      </c>
    </row>
    <row r="95" spans="27:48" ht="24.95" customHeight="1" x14ac:dyDescent="0.25">
      <c r="AD95" s="10">
        <v>1</v>
      </c>
    </row>
    <row r="96" spans="27:48" ht="24.95" customHeight="1" x14ac:dyDescent="0.25">
      <c r="AE96" s="10">
        <v>1</v>
      </c>
    </row>
    <row r="97" spans="32:45" ht="24.95" customHeight="1" x14ac:dyDescent="0.25">
      <c r="AF97" s="10">
        <v>1</v>
      </c>
    </row>
    <row r="98" spans="32:45" ht="24.95" customHeight="1" x14ac:dyDescent="0.25">
      <c r="AG98" s="10">
        <v>1</v>
      </c>
    </row>
    <row r="99" spans="32:45" ht="24.95" customHeight="1" x14ac:dyDescent="0.25">
      <c r="AH99" s="10">
        <v>1</v>
      </c>
    </row>
    <row r="100" spans="32:45" ht="24.95" customHeight="1" x14ac:dyDescent="0.25">
      <c r="AI100" s="10">
        <v>1</v>
      </c>
    </row>
    <row r="101" spans="32:45" ht="24.95" customHeight="1" x14ac:dyDescent="0.25">
      <c r="AJ101" s="10">
        <v>1</v>
      </c>
    </row>
    <row r="102" spans="32:45" ht="24.95" customHeight="1" x14ac:dyDescent="0.25">
      <c r="AK102" s="10">
        <v>1</v>
      </c>
    </row>
    <row r="103" spans="32:45" ht="24.95" customHeight="1" x14ac:dyDescent="0.25">
      <c r="AP103" s="10">
        <v>1</v>
      </c>
    </row>
    <row r="104" spans="32:45" ht="24.95" customHeight="1" x14ac:dyDescent="0.25">
      <c r="AQ104" s="10">
        <v>1</v>
      </c>
    </row>
    <row r="105" spans="32:45" ht="24.95" customHeight="1" x14ac:dyDescent="0.25">
      <c r="AR105" s="10">
        <v>1</v>
      </c>
    </row>
    <row r="106" spans="32:45" ht="24.95" customHeight="1" x14ac:dyDescent="0.25">
      <c r="AS106" s="10">
        <v>1</v>
      </c>
    </row>
    <row r="107" spans="32:45" ht="24.95" customHeight="1" x14ac:dyDescent="0.25">
      <c r="AL107" s="10">
        <v>1</v>
      </c>
    </row>
    <row r="108" spans="32:45" ht="24.95" customHeight="1" x14ac:dyDescent="0.25">
      <c r="AM108" s="10">
        <v>1</v>
      </c>
    </row>
    <row r="109" spans="32:45" ht="24.95" customHeight="1" x14ac:dyDescent="0.25">
      <c r="AN109" s="10">
        <v>1</v>
      </c>
    </row>
    <row r="110" spans="32:45" ht="24.95" customHeight="1" x14ac:dyDescent="0.25">
      <c r="AO110" s="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AZ26"/>
  <sheetViews>
    <sheetView topLeftCell="A11" zoomScaleNormal="100" workbookViewId="0">
      <selection activeCell="L19" sqref="L19"/>
    </sheetView>
  </sheetViews>
  <sheetFormatPr defaultRowHeight="15" x14ac:dyDescent="0.25"/>
  <cols>
    <col min="1" max="16384" width="9.140625" style="1"/>
  </cols>
  <sheetData>
    <row r="4" spans="5:44" x14ac:dyDescent="0.25">
      <c r="E4" s="4">
        <v>2</v>
      </c>
      <c r="F4" s="4">
        <v>4</v>
      </c>
      <c r="G4" s="4" t="str">
        <f>COMPLEX(12,14)</f>
        <v>12+14i</v>
      </c>
      <c r="J4" s="4">
        <v>2</v>
      </c>
      <c r="K4" s="4">
        <v>3</v>
      </c>
      <c r="L4" s="4" t="s">
        <v>48</v>
      </c>
      <c r="O4" s="1">
        <v>360</v>
      </c>
      <c r="P4" s="1" t="s">
        <v>49</v>
      </c>
      <c r="Q4" s="1" t="s">
        <v>50</v>
      </c>
      <c r="T4" s="6">
        <v>18.973665961010301</v>
      </c>
      <c r="Y4" s="1">
        <v>18.973665961010301</v>
      </c>
      <c r="Z4" s="1" t="s">
        <v>58</v>
      </c>
      <c r="AA4" s="1" t="s">
        <v>59</v>
      </c>
      <c r="AD4" s="1">
        <v>720.00000000000205</v>
      </c>
      <c r="AE4" s="1" t="s">
        <v>156</v>
      </c>
      <c r="AF4" s="1" t="s">
        <v>157</v>
      </c>
      <c r="AI4" s="1">
        <v>360.00000000000102</v>
      </c>
      <c r="AJ4" s="1" t="s">
        <v>68</v>
      </c>
      <c r="AK4" s="1">
        <v>0</v>
      </c>
      <c r="AL4" s="1">
        <v>1</v>
      </c>
      <c r="AM4" s="1" t="s">
        <v>155</v>
      </c>
      <c r="AN4" s="1" t="s">
        <v>154</v>
      </c>
    </row>
    <row r="5" spans="5:44" x14ac:dyDescent="0.25">
      <c r="E5" s="4">
        <v>3</v>
      </c>
      <c r="F5" s="4" t="str">
        <f>COMPLEX(7,9)</f>
        <v>7+9i</v>
      </c>
      <c r="G5" s="4">
        <v>4</v>
      </c>
      <c r="J5" s="4">
        <v>4</v>
      </c>
      <c r="K5" s="4" t="s">
        <v>47</v>
      </c>
      <c r="L5" s="4">
        <v>9</v>
      </c>
      <c r="O5" s="1" t="s">
        <v>51</v>
      </c>
      <c r="P5" s="1">
        <v>155</v>
      </c>
      <c r="Q5" s="1" t="s">
        <v>52</v>
      </c>
      <c r="T5" s="6" t="s">
        <v>55</v>
      </c>
      <c r="U5" s="1">
        <v>11.6280312654856</v>
      </c>
      <c r="Z5" s="1">
        <v>11.6280312654856</v>
      </c>
      <c r="AA5" s="1" t="s">
        <v>60</v>
      </c>
      <c r="AD5" s="1" t="s">
        <v>158</v>
      </c>
      <c r="AE5" s="1">
        <v>310</v>
      </c>
      <c r="AF5" s="1" t="s">
        <v>160</v>
      </c>
      <c r="AI5" s="1">
        <v>0</v>
      </c>
      <c r="AJ5" s="1" t="s">
        <v>67</v>
      </c>
      <c r="AK5" s="1" t="s">
        <v>151</v>
      </c>
      <c r="AL5" s="1">
        <v>0</v>
      </c>
      <c r="AM5" s="1" t="s">
        <v>153</v>
      </c>
      <c r="AN5" s="1" t="s">
        <v>152</v>
      </c>
    </row>
    <row r="6" spans="5:44" x14ac:dyDescent="0.25">
      <c r="E6" s="4" t="str">
        <f>COMPLEX(5,13)</f>
        <v>5+13i</v>
      </c>
      <c r="F6" s="4">
        <v>9</v>
      </c>
      <c r="G6" s="4">
        <v>11</v>
      </c>
      <c r="J6" s="4" t="s">
        <v>46</v>
      </c>
      <c r="K6" s="4">
        <v>4</v>
      </c>
      <c r="L6" s="4">
        <v>11</v>
      </c>
      <c r="O6" s="1" t="s">
        <v>53</v>
      </c>
      <c r="P6" s="1" t="s">
        <v>54</v>
      </c>
      <c r="Q6" s="1">
        <v>396</v>
      </c>
      <c r="T6" s="1" t="s">
        <v>56</v>
      </c>
      <c r="U6" s="1" t="s">
        <v>57</v>
      </c>
      <c r="V6" s="1">
        <v>14.7573047189241</v>
      </c>
      <c r="AA6" s="1">
        <v>14.7573047189241</v>
      </c>
      <c r="AD6" s="1" t="s">
        <v>159</v>
      </c>
      <c r="AE6" s="1" t="s">
        <v>161</v>
      </c>
      <c r="AF6" s="1">
        <v>792.00000000000205</v>
      </c>
      <c r="AH6" s="1" t="s">
        <v>0</v>
      </c>
      <c r="AI6" s="1">
        <v>0</v>
      </c>
      <c r="AJ6" s="1">
        <v>0</v>
      </c>
      <c r="AK6" s="1" t="s">
        <v>149</v>
      </c>
      <c r="AL6" s="1">
        <v>0</v>
      </c>
      <c r="AM6" s="1" t="s">
        <v>150</v>
      </c>
      <c r="AN6" s="1">
        <v>1</v>
      </c>
    </row>
    <row r="7" spans="5:44" x14ac:dyDescent="0.25">
      <c r="X7" s="1" t="s">
        <v>0</v>
      </c>
    </row>
    <row r="8" spans="5:44" x14ac:dyDescent="0.25">
      <c r="O8" s="1" t="s">
        <v>0</v>
      </c>
      <c r="AD8" s="1">
        <f>SQRT(178^2+128^2)</f>
        <v>219.24415613648634</v>
      </c>
      <c r="AE8" s="1">
        <f>SQRT(122^2+42^2)</f>
        <v>129.02712893031449</v>
      </c>
    </row>
    <row r="9" spans="5:44" x14ac:dyDescent="0.25">
      <c r="E9" s="1">
        <v>2</v>
      </c>
      <c r="F9" s="1">
        <v>4</v>
      </c>
      <c r="H9" s="1">
        <v>3</v>
      </c>
      <c r="I9" s="1">
        <v>6</v>
      </c>
      <c r="L9" s="4">
        <v>42</v>
      </c>
      <c r="M9" s="4">
        <v>60</v>
      </c>
      <c r="N9" s="4"/>
    </row>
    <row r="10" spans="5:44" x14ac:dyDescent="0.25">
      <c r="E10" s="1">
        <v>6</v>
      </c>
      <c r="F10" s="1">
        <v>8</v>
      </c>
      <c r="H10" s="1">
        <v>9</v>
      </c>
      <c r="I10" s="1">
        <v>12</v>
      </c>
      <c r="L10" s="4">
        <v>90</v>
      </c>
      <c r="M10" s="4">
        <v>132</v>
      </c>
      <c r="N10" s="4"/>
      <c r="Q10" s="1" t="str">
        <f>COMPLEX(-100,4)</f>
        <v>-100+4i</v>
      </c>
      <c r="S10" s="1" t="str">
        <f>IMPRODUCT(Q10,Q11)</f>
        <v>-312-288i</v>
      </c>
      <c r="T10" s="1" t="str">
        <f>IMPRODUCT(S10,S10)</f>
        <v>14400+179712i</v>
      </c>
      <c r="W10" s="1">
        <v>360</v>
      </c>
      <c r="X10" s="1" t="s">
        <v>49</v>
      </c>
      <c r="Y10" s="1" t="s">
        <v>50</v>
      </c>
      <c r="AB10" s="1">
        <v>18.973665961010301</v>
      </c>
      <c r="AG10" s="1">
        <v>1</v>
      </c>
      <c r="AK10" s="1">
        <v>1</v>
      </c>
      <c r="AP10" s="1">
        <v>1</v>
      </c>
    </row>
    <row r="11" spans="5:44" x14ac:dyDescent="0.25">
      <c r="F11" s="7"/>
      <c r="L11" s="4"/>
      <c r="M11" s="4"/>
      <c r="N11" s="4"/>
      <c r="Q11" s="1" t="str">
        <f>COMPLEX(3,3)</f>
        <v>3+3i</v>
      </c>
      <c r="S11" s="1" t="str">
        <f>IMPRODUCT(Q10,IMCONJUGATE(Q11))</f>
        <v>-288+312i</v>
      </c>
      <c r="W11" s="1" t="s">
        <v>51</v>
      </c>
      <c r="X11" s="1">
        <v>155</v>
      </c>
      <c r="Y11" s="1" t="s">
        <v>52</v>
      </c>
      <c r="AB11" s="1" t="s">
        <v>55</v>
      </c>
      <c r="AC11" s="1">
        <v>11.6280312654856</v>
      </c>
      <c r="AG11" s="1" t="s">
        <v>63</v>
      </c>
      <c r="AH11" s="1">
        <v>1</v>
      </c>
      <c r="AL11" s="1">
        <v>1</v>
      </c>
      <c r="AP11" s="1" t="s">
        <v>63</v>
      </c>
      <c r="AQ11" s="1">
        <v>1</v>
      </c>
    </row>
    <row r="12" spans="5:44" x14ac:dyDescent="0.25">
      <c r="E12" s="4">
        <v>2</v>
      </c>
      <c r="F12" s="4">
        <v>4</v>
      </c>
      <c r="G12" s="4" t="str">
        <f>COMPLEX(12,14)</f>
        <v>12+14i</v>
      </c>
      <c r="J12" s="1" t="s">
        <v>162</v>
      </c>
      <c r="K12" s="1">
        <v>4</v>
      </c>
      <c r="L12" s="1">
        <v>2</v>
      </c>
      <c r="S12" s="1" t="str">
        <f>IMPRODUCT(Q11,IMCONJUGATE(Q10))</f>
        <v>-288-312i</v>
      </c>
      <c r="T12" s="1" t="str">
        <f>IMPRODUCT(S11,S12)</f>
        <v>180288</v>
      </c>
      <c r="W12" s="1" t="s">
        <v>53</v>
      </c>
      <c r="X12" s="1" t="s">
        <v>54</v>
      </c>
      <c r="Y12" s="1">
        <v>396</v>
      </c>
      <c r="AB12" s="1" t="s">
        <v>56</v>
      </c>
      <c r="AC12" s="1" t="s">
        <v>57</v>
      </c>
      <c r="AD12" s="1">
        <v>14.7573047189241</v>
      </c>
      <c r="AG12" s="1" t="s">
        <v>64</v>
      </c>
      <c r="AH12" s="1" t="s">
        <v>65</v>
      </c>
      <c r="AI12" s="1">
        <v>0.999999999999999</v>
      </c>
      <c r="AM12" s="1">
        <v>1</v>
      </c>
      <c r="AP12" s="1" t="s">
        <v>64</v>
      </c>
      <c r="AQ12" s="1" t="s">
        <v>65</v>
      </c>
      <c r="AR12" s="1">
        <v>0.999999999999999</v>
      </c>
    </row>
    <row r="13" spans="5:44" x14ac:dyDescent="0.25">
      <c r="E13" s="4">
        <v>3</v>
      </c>
      <c r="F13" s="4" t="str">
        <f>COMPLEX(7,9)</f>
        <v>7+9i</v>
      </c>
      <c r="G13" s="4">
        <v>4</v>
      </c>
      <c r="J13" s="1">
        <v>4</v>
      </c>
      <c r="K13" s="1" t="s">
        <v>163</v>
      </c>
      <c r="L13" s="1">
        <v>3</v>
      </c>
    </row>
    <row r="14" spans="5:44" x14ac:dyDescent="0.25">
      <c r="E14" s="4" t="str">
        <f>COMPLEX(5,13)</f>
        <v>5+13i</v>
      </c>
      <c r="F14" s="4">
        <v>9</v>
      </c>
      <c r="G14" s="4">
        <v>11</v>
      </c>
      <c r="J14" s="1">
        <v>11</v>
      </c>
      <c r="K14" s="1">
        <v>9</v>
      </c>
      <c r="L14" s="1" t="s">
        <v>164</v>
      </c>
      <c r="U14" s="1" t="s">
        <v>0</v>
      </c>
    </row>
    <row r="15" spans="5:44" x14ac:dyDescent="0.25">
      <c r="Q15" s="1" t="s">
        <v>61</v>
      </c>
      <c r="AB15" s="1">
        <v>5.2704627669472898E-2</v>
      </c>
      <c r="AG15" s="1">
        <v>1</v>
      </c>
      <c r="AK15" s="1">
        <v>1</v>
      </c>
      <c r="AP15" s="1">
        <v>1</v>
      </c>
    </row>
    <row r="16" spans="5:44" x14ac:dyDescent="0.25">
      <c r="AC16" s="1">
        <v>8.5999080770294001E-2</v>
      </c>
      <c r="AG16" s="1">
        <v>3</v>
      </c>
      <c r="AH16" s="1">
        <v>1</v>
      </c>
      <c r="AK16" s="1">
        <f>-3</f>
        <v>-3</v>
      </c>
      <c r="AL16" s="1">
        <v>1</v>
      </c>
      <c r="AP16" s="1">
        <v>0</v>
      </c>
      <c r="AQ16" s="1">
        <v>1</v>
      </c>
    </row>
    <row r="17" spans="5:52" x14ac:dyDescent="0.25">
      <c r="E17" s="4">
        <v>2</v>
      </c>
      <c r="F17" s="4">
        <v>4</v>
      </c>
      <c r="G17" s="4" t="str">
        <f>COMPLEX(12,14)</f>
        <v>12+14i</v>
      </c>
      <c r="J17" s="4" t="s">
        <v>219</v>
      </c>
      <c r="K17" s="4" t="s">
        <v>220</v>
      </c>
      <c r="L17" s="4" t="s">
        <v>221</v>
      </c>
      <c r="M17" s="4"/>
      <c r="Q17" s="1" t="s">
        <v>62</v>
      </c>
      <c r="AD17" s="1">
        <v>6.7763051522385695E-2</v>
      </c>
      <c r="AG17" s="1">
        <v>4</v>
      </c>
      <c r="AH17" s="1">
        <v>5</v>
      </c>
      <c r="AI17" s="1">
        <v>1</v>
      </c>
      <c r="AK17" s="1">
        <v>11</v>
      </c>
      <c r="AL17" s="1">
        <f>-5</f>
        <v>-5</v>
      </c>
      <c r="AM17" s="1">
        <v>1</v>
      </c>
      <c r="AP17" s="1">
        <v>0</v>
      </c>
      <c r="AQ17" s="1">
        <v>0</v>
      </c>
      <c r="AR17" s="1">
        <v>1</v>
      </c>
    </row>
    <row r="18" spans="5:52" x14ac:dyDescent="0.25">
      <c r="E18" s="4">
        <v>3</v>
      </c>
      <c r="F18" s="4" t="str">
        <f>COMPLEX(7,9)</f>
        <v>7+9i</v>
      </c>
      <c r="G18" s="4">
        <v>4</v>
      </c>
      <c r="J18" s="4" t="s">
        <v>222</v>
      </c>
      <c r="K18" s="4" t="s">
        <v>223</v>
      </c>
      <c r="L18" s="4" t="s">
        <v>224</v>
      </c>
      <c r="M18" s="4"/>
    </row>
    <row r="19" spans="5:52" x14ac:dyDescent="0.25">
      <c r="E19" s="4" t="str">
        <f>COMPLEX(5,13)</f>
        <v>5+13i</v>
      </c>
      <c r="F19" s="4">
        <v>9</v>
      </c>
      <c r="G19" s="4">
        <v>11</v>
      </c>
      <c r="J19" s="4" t="s">
        <v>225</v>
      </c>
      <c r="K19" s="4" t="s">
        <v>226</v>
      </c>
      <c r="L19" s="4" t="s">
        <v>227</v>
      </c>
      <c r="M19" s="4"/>
      <c r="W19" s="1">
        <v>18.973665961010301</v>
      </c>
      <c r="X19" s="1">
        <v>0</v>
      </c>
      <c r="Y19" s="1">
        <v>0</v>
      </c>
      <c r="Z19" s="1">
        <v>1</v>
      </c>
      <c r="AE19" s="1">
        <v>5.2704627669472898E-2</v>
      </c>
      <c r="AJ19" s="1">
        <v>5.2704627669472898E-2</v>
      </c>
      <c r="AK19" s="1" t="s">
        <v>104</v>
      </c>
      <c r="AL19" s="1" t="s">
        <v>105</v>
      </c>
      <c r="AQ19" s="1">
        <v>5.2704627669472898E-2</v>
      </c>
      <c r="AV19" s="1" t="s">
        <v>107</v>
      </c>
      <c r="AW19" s="1" t="s">
        <v>108</v>
      </c>
      <c r="AX19" s="1" t="s">
        <v>109</v>
      </c>
    </row>
    <row r="20" spans="5:52" x14ac:dyDescent="0.25">
      <c r="J20" s="4"/>
      <c r="K20" s="4"/>
      <c r="L20" s="4"/>
      <c r="M20" s="4"/>
      <c r="W20" s="1">
        <v>0</v>
      </c>
      <c r="X20" s="1">
        <v>11.6280312654856</v>
      </c>
      <c r="Y20" s="1">
        <v>0</v>
      </c>
      <c r="Z20" s="1" t="s">
        <v>100</v>
      </c>
      <c r="AA20" s="1">
        <v>1</v>
      </c>
      <c r="AE20" s="1" t="s">
        <v>104</v>
      </c>
      <c r="AF20" s="1">
        <v>8.5999080770294001E-2</v>
      </c>
      <c r="AK20" s="1">
        <v>8.5999080770294001E-2</v>
      </c>
      <c r="AL20" s="1" t="s">
        <v>106</v>
      </c>
      <c r="AQ20" s="1" t="s">
        <v>104</v>
      </c>
      <c r="AR20" s="1">
        <v>8.5999080770294001E-2</v>
      </c>
      <c r="AV20" s="1" t="s">
        <v>108</v>
      </c>
      <c r="AW20" s="1" t="s">
        <v>110</v>
      </c>
      <c r="AX20" s="1" t="s">
        <v>111</v>
      </c>
    </row>
    <row r="21" spans="5:52" x14ac:dyDescent="0.25">
      <c r="W21" s="1" t="s">
        <v>101</v>
      </c>
      <c r="X21" s="1">
        <v>0</v>
      </c>
      <c r="Y21" s="1">
        <v>14.7573047189241</v>
      </c>
      <c r="Z21" s="1" t="s">
        <v>102</v>
      </c>
      <c r="AA21" s="1" t="s">
        <v>103</v>
      </c>
      <c r="AB21" s="1">
        <v>1</v>
      </c>
      <c r="AE21" s="1" t="s">
        <v>105</v>
      </c>
      <c r="AF21" s="1" t="s">
        <v>106</v>
      </c>
      <c r="AG21" s="1">
        <v>6.7763051522385695E-2</v>
      </c>
      <c r="AL21" s="1">
        <v>6.7763051522385695E-2</v>
      </c>
      <c r="AQ21" s="1" t="s">
        <v>105</v>
      </c>
      <c r="AR21" s="1" t="s">
        <v>106</v>
      </c>
      <c r="AS21" s="1">
        <v>6.7763051522385695E-2</v>
      </c>
      <c r="AV21" s="1" t="s">
        <v>109</v>
      </c>
      <c r="AW21" s="1" t="s">
        <v>111</v>
      </c>
      <c r="AX21" s="1">
        <v>4.5918311516254997E-3</v>
      </c>
    </row>
    <row r="24" spans="5:52" x14ac:dyDescent="0.25">
      <c r="W24" s="1">
        <v>5.2704627669472898E-2</v>
      </c>
      <c r="AJ24" s="1">
        <v>360</v>
      </c>
      <c r="AK24" s="1" t="s">
        <v>49</v>
      </c>
      <c r="AL24" s="1" t="s">
        <v>50</v>
      </c>
      <c r="AO24" s="1">
        <v>360</v>
      </c>
      <c r="AP24" s="1" t="s">
        <v>51</v>
      </c>
      <c r="AQ24" s="1" t="s">
        <v>53</v>
      </c>
      <c r="AS24" s="1" t="s">
        <v>107</v>
      </c>
      <c r="AT24" s="1" t="s">
        <v>108</v>
      </c>
      <c r="AU24" s="1" t="s">
        <v>109</v>
      </c>
      <c r="AX24" s="1" t="s">
        <v>112</v>
      </c>
      <c r="AY24" s="1" t="s">
        <v>113</v>
      </c>
      <c r="AZ24" s="1" t="s">
        <v>114</v>
      </c>
    </row>
    <row r="25" spans="5:52" x14ac:dyDescent="0.25">
      <c r="X25" s="1">
        <v>8.5999080770294001E-2</v>
      </c>
      <c r="AJ25" s="1" t="s">
        <v>51</v>
      </c>
      <c r="AK25" s="1">
        <v>155</v>
      </c>
      <c r="AL25" s="1" t="s">
        <v>52</v>
      </c>
      <c r="AO25" s="1" t="s">
        <v>49</v>
      </c>
      <c r="AP25" s="1">
        <v>155</v>
      </c>
      <c r="AQ25" s="1" t="s">
        <v>54</v>
      </c>
      <c r="AS25" s="1" t="s">
        <v>108</v>
      </c>
      <c r="AT25" s="1" t="s">
        <v>110</v>
      </c>
      <c r="AU25" s="1" t="s">
        <v>111</v>
      </c>
      <c r="AX25" s="1" t="s">
        <v>115</v>
      </c>
      <c r="AY25" s="1" t="s">
        <v>116</v>
      </c>
      <c r="AZ25" s="1" t="s">
        <v>117</v>
      </c>
    </row>
    <row r="26" spans="5:52" x14ac:dyDescent="0.25">
      <c r="Y26" s="1">
        <v>6.7763051522385695E-2</v>
      </c>
      <c r="AJ26" s="1" t="s">
        <v>53</v>
      </c>
      <c r="AK26" s="1" t="s">
        <v>54</v>
      </c>
      <c r="AL26" s="1">
        <v>396</v>
      </c>
      <c r="AO26" s="1" t="s">
        <v>50</v>
      </c>
      <c r="AP26" s="1" t="s">
        <v>52</v>
      </c>
      <c r="AQ26" s="1">
        <v>396</v>
      </c>
      <c r="AS26" s="1" t="s">
        <v>109</v>
      </c>
      <c r="AT26" s="1" t="s">
        <v>111</v>
      </c>
      <c r="AU26" s="1">
        <v>4.5918311516254997E-3</v>
      </c>
      <c r="AX26" s="1" t="s">
        <v>118</v>
      </c>
      <c r="AY26" s="1" t="s">
        <v>119</v>
      </c>
      <c r="AZ26" s="1" t="s">
        <v>120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BH27"/>
  <sheetViews>
    <sheetView zoomScaleNormal="100" workbookViewId="0">
      <selection activeCell="D5" sqref="D5"/>
    </sheetView>
  </sheetViews>
  <sheetFormatPr defaultRowHeight="15" x14ac:dyDescent="0.25"/>
  <cols>
    <col min="1" max="16384" width="9.140625" style="1"/>
  </cols>
  <sheetData>
    <row r="3" spans="2:60" x14ac:dyDescent="0.25">
      <c r="B3" s="1">
        <v>360</v>
      </c>
      <c r="C3" s="1" t="s">
        <v>49</v>
      </c>
      <c r="D3" s="1" t="s">
        <v>50</v>
      </c>
      <c r="G3" s="1" t="s">
        <v>0</v>
      </c>
    </row>
    <row r="4" spans="2:60" x14ac:dyDescent="0.25">
      <c r="B4" s="1" t="s">
        <v>51</v>
      </c>
      <c r="C4" s="1">
        <v>155</v>
      </c>
      <c r="D4" s="1" t="s">
        <v>52</v>
      </c>
    </row>
    <row r="5" spans="2:60" x14ac:dyDescent="0.25">
      <c r="B5" s="1" t="s">
        <v>53</v>
      </c>
      <c r="C5" s="1" t="s">
        <v>54</v>
      </c>
      <c r="D5" s="1">
        <v>396</v>
      </c>
      <c r="F5" s="1">
        <v>1</v>
      </c>
      <c r="G5" s="1">
        <v>2</v>
      </c>
      <c r="I5" s="1">
        <v>5</v>
      </c>
      <c r="M5" s="1">
        <v>5</v>
      </c>
      <c r="N5" s="1">
        <v>16</v>
      </c>
      <c r="R5" s="1">
        <v>5</v>
      </c>
      <c r="S5" s="1" t="s">
        <v>1</v>
      </c>
      <c r="T5" s="1">
        <v>5</v>
      </c>
      <c r="W5" s="1">
        <v>5</v>
      </c>
      <c r="X5" s="1">
        <v>56</v>
      </c>
      <c r="Y5" s="1" t="s">
        <v>3</v>
      </c>
      <c r="AB5" s="1">
        <v>58</v>
      </c>
      <c r="AC5" s="1" t="s">
        <v>4</v>
      </c>
      <c r="AD5" s="1" t="s">
        <v>5</v>
      </c>
      <c r="AG5" s="1">
        <v>7.6157731058639104</v>
      </c>
      <c r="AL5" s="1">
        <v>7.6157731058639104</v>
      </c>
      <c r="AM5" s="1" t="s">
        <v>13</v>
      </c>
      <c r="AN5" s="1" t="s">
        <v>14</v>
      </c>
      <c r="AQ5" s="1">
        <v>58</v>
      </c>
      <c r="AR5" s="1" t="s">
        <v>4</v>
      </c>
      <c r="AS5" s="1" t="s">
        <v>5</v>
      </c>
    </row>
    <row r="6" spans="2:60" x14ac:dyDescent="0.25">
      <c r="F6" s="1">
        <v>3</v>
      </c>
      <c r="G6" s="1">
        <v>4</v>
      </c>
      <c r="J6" s="1">
        <v>8</v>
      </c>
      <c r="M6" s="1" t="str">
        <f>COMPLEX(2,2)</f>
        <v>2+2i</v>
      </c>
      <c r="N6" s="1">
        <v>32</v>
      </c>
      <c r="O6" s="1">
        <v>33</v>
      </c>
      <c r="R6" s="1">
        <v>56</v>
      </c>
      <c r="S6" s="1">
        <v>32</v>
      </c>
      <c r="T6" s="1">
        <v>6</v>
      </c>
      <c r="W6" s="1" t="s">
        <v>2</v>
      </c>
      <c r="X6" s="1">
        <v>32</v>
      </c>
      <c r="Y6" s="1">
        <v>33</v>
      </c>
      <c r="AB6" s="1" t="s">
        <v>6</v>
      </c>
      <c r="AC6" s="1">
        <v>4196</v>
      </c>
      <c r="AD6" s="1" t="s">
        <v>7</v>
      </c>
      <c r="AG6" s="1" t="s">
        <v>11</v>
      </c>
      <c r="AH6" s="1">
        <v>41.397151326281403</v>
      </c>
      <c r="AM6" s="1">
        <v>41.397151326281403</v>
      </c>
      <c r="AN6" s="1" t="s">
        <v>15</v>
      </c>
      <c r="AQ6" s="1" t="s">
        <v>6</v>
      </c>
      <c r="AR6" s="1">
        <v>4196</v>
      </c>
      <c r="AS6" s="1" t="s">
        <v>16</v>
      </c>
    </row>
    <row r="7" spans="2:60" x14ac:dyDescent="0.25">
      <c r="M7" s="1">
        <v>5</v>
      </c>
      <c r="N7" s="1">
        <v>6</v>
      </c>
      <c r="O7" s="1">
        <v>4</v>
      </c>
      <c r="R7" s="1" t="str">
        <f>COMPLEX(4,-8)</f>
        <v>4-8i</v>
      </c>
      <c r="S7" s="1">
        <v>33</v>
      </c>
      <c r="T7" s="1">
        <v>4</v>
      </c>
      <c r="W7" s="1">
        <v>5</v>
      </c>
      <c r="X7" s="1">
        <v>6</v>
      </c>
      <c r="Y7" s="1">
        <v>4</v>
      </c>
      <c r="AB7" s="1" t="s">
        <v>8</v>
      </c>
      <c r="AC7" s="1" t="s">
        <v>9</v>
      </c>
      <c r="AD7" s="1">
        <v>1185</v>
      </c>
      <c r="AG7" s="1" t="s">
        <v>10</v>
      </c>
      <c r="AH7" s="1" t="s">
        <v>12</v>
      </c>
      <c r="AI7" s="1">
        <v>25.102624889222799</v>
      </c>
      <c r="AN7" s="1">
        <v>25.102624889222799</v>
      </c>
      <c r="AQ7" s="1" t="s">
        <v>8</v>
      </c>
      <c r="AR7" s="1" t="s">
        <v>17</v>
      </c>
      <c r="AS7" s="1">
        <v>1185</v>
      </c>
    </row>
    <row r="9" spans="2:60" x14ac:dyDescent="0.25">
      <c r="F9" s="1">
        <v>5</v>
      </c>
      <c r="I9" s="1">
        <v>1</v>
      </c>
      <c r="J9" s="1">
        <v>2</v>
      </c>
      <c r="M9" s="1">
        <v>28</v>
      </c>
      <c r="N9" s="1">
        <v>44</v>
      </c>
      <c r="AG9" s="1">
        <v>3</v>
      </c>
      <c r="AH9" s="1">
        <v>4</v>
      </c>
      <c r="AK9" s="1">
        <v>3</v>
      </c>
      <c r="AL9" s="1">
        <v>5</v>
      </c>
      <c r="AO9" s="1">
        <v>25</v>
      </c>
      <c r="AP9" s="1">
        <v>39</v>
      </c>
      <c r="AS9" s="1">
        <v>5</v>
      </c>
      <c r="AW9" s="1">
        <v>5</v>
      </c>
      <c r="AX9" s="1">
        <v>7.8</v>
      </c>
      <c r="BA9" s="1">
        <v>25</v>
      </c>
      <c r="BB9" s="1">
        <v>39</v>
      </c>
    </row>
    <row r="10" spans="2:60" x14ac:dyDescent="0.25">
      <c r="G10" s="1">
        <v>8</v>
      </c>
      <c r="I10" s="1">
        <v>3</v>
      </c>
      <c r="J10" s="1">
        <v>4</v>
      </c>
      <c r="M10" s="1">
        <v>55</v>
      </c>
      <c r="N10" s="1">
        <v>78</v>
      </c>
      <c r="AG10" s="1">
        <v>5</v>
      </c>
      <c r="AH10" s="1">
        <v>6</v>
      </c>
      <c r="AK10" s="1">
        <v>4</v>
      </c>
      <c r="AL10" s="1">
        <v>6</v>
      </c>
      <c r="AO10" s="1">
        <v>39</v>
      </c>
      <c r="AP10" s="1">
        <v>61</v>
      </c>
      <c r="AS10" s="1">
        <v>7.8</v>
      </c>
      <c r="AT10" s="1">
        <v>0.39999999999999603</v>
      </c>
      <c r="AX10" s="1">
        <v>0.39999999999999603</v>
      </c>
      <c r="BA10" s="1">
        <v>39</v>
      </c>
      <c r="BB10" s="1">
        <v>61</v>
      </c>
    </row>
    <row r="11" spans="2:60" x14ac:dyDescent="0.25">
      <c r="E11" s="1" t="s">
        <v>144</v>
      </c>
      <c r="F11" s="3" t="s">
        <v>145</v>
      </c>
      <c r="G11" s="1" t="e">
        <f>E11*F11</f>
        <v>#VALUE!</v>
      </c>
      <c r="H11" s="1" t="str">
        <f>IMPRODUCT(E11,F11)</f>
        <v>1-2i</v>
      </c>
      <c r="R11" s="1" t="str">
        <f>COMPLEX(1,1)</f>
        <v>1+i</v>
      </c>
      <c r="S11" s="1" t="str">
        <f>IMDIV(1,R11)</f>
        <v>0.5-0.5i</v>
      </c>
    </row>
    <row r="13" spans="2:60" x14ac:dyDescent="0.25">
      <c r="AG13" s="1">
        <v>3</v>
      </c>
      <c r="AH13" s="1">
        <v>7</v>
      </c>
      <c r="AI13" s="1">
        <v>6</v>
      </c>
      <c r="AL13" s="1">
        <v>3</v>
      </c>
      <c r="AM13" s="1">
        <v>7</v>
      </c>
      <c r="AN13" s="1">
        <v>8</v>
      </c>
      <c r="AQ13" s="1">
        <v>94</v>
      </c>
      <c r="AR13" s="1">
        <v>61</v>
      </c>
      <c r="AS13" s="1">
        <v>138</v>
      </c>
      <c r="AV13" s="1">
        <v>9.6953597148326605</v>
      </c>
      <c r="BA13" s="1">
        <v>9.6953597148326605</v>
      </c>
      <c r="BB13" s="1">
        <v>6.29166960217864</v>
      </c>
      <c r="BC13" s="1">
        <v>14.2336131983713</v>
      </c>
      <c r="BF13" s="1">
        <v>94</v>
      </c>
      <c r="BG13" s="1">
        <v>61</v>
      </c>
      <c r="BH13" s="1">
        <v>138</v>
      </c>
    </row>
    <row r="14" spans="2:60" x14ac:dyDescent="0.25">
      <c r="D14" s="1" t="str">
        <f>COMPLEX(2,4)</f>
        <v>2+4i</v>
      </c>
      <c r="E14" s="1">
        <v>6</v>
      </c>
      <c r="H14" s="1" t="s">
        <v>121</v>
      </c>
      <c r="I14" s="1">
        <v>9</v>
      </c>
      <c r="L14" s="1">
        <v>56</v>
      </c>
      <c r="M14" s="1" t="s">
        <v>123</v>
      </c>
      <c r="P14" s="1">
        <v>7.48331477354788</v>
      </c>
      <c r="Q14" s="1">
        <v>0</v>
      </c>
      <c r="R14" s="1">
        <v>1</v>
      </c>
      <c r="V14" s="1">
        <v>0.133630620956212</v>
      </c>
      <c r="Z14" s="1">
        <v>0.133630620956212</v>
      </c>
      <c r="AA14" s="1" t="s">
        <v>128</v>
      </c>
      <c r="AG14" s="1">
        <v>7</v>
      </c>
      <c r="AH14" s="1">
        <v>4</v>
      </c>
      <c r="AI14" s="1">
        <v>2</v>
      </c>
      <c r="AL14" s="1">
        <v>7</v>
      </c>
      <c r="AM14" s="1">
        <v>4</v>
      </c>
      <c r="AN14" s="1">
        <v>12</v>
      </c>
      <c r="AQ14" s="1">
        <v>61</v>
      </c>
      <c r="AR14" s="1">
        <v>69</v>
      </c>
      <c r="AS14" s="1">
        <v>114</v>
      </c>
      <c r="AV14" s="1">
        <v>6.29166960217864</v>
      </c>
      <c r="AW14" s="1">
        <v>5.42354990914819</v>
      </c>
      <c r="BB14" s="1">
        <v>5.42354990914819</v>
      </c>
      <c r="BC14" s="1">
        <v>4.5075290022505099</v>
      </c>
      <c r="BF14" s="1">
        <v>61</v>
      </c>
      <c r="BG14" s="1">
        <v>69</v>
      </c>
      <c r="BH14" s="1">
        <v>114</v>
      </c>
    </row>
    <row r="15" spans="2:60" x14ac:dyDescent="0.25">
      <c r="D15" s="1">
        <v>9</v>
      </c>
      <c r="E15" s="1" t="str">
        <f>COMPLEX(4,5)</f>
        <v>4+5i</v>
      </c>
      <c r="H15" s="1">
        <v>6</v>
      </c>
      <c r="I15" s="1" t="s">
        <v>122</v>
      </c>
      <c r="L15" s="1" t="s">
        <v>124</v>
      </c>
      <c r="M15" s="1">
        <v>122</v>
      </c>
      <c r="P15" s="1" t="s">
        <v>125</v>
      </c>
      <c r="Q15" s="1">
        <v>9.4793007578166293</v>
      </c>
      <c r="R15" s="1" t="s">
        <v>126</v>
      </c>
      <c r="S15" s="1">
        <v>1</v>
      </c>
      <c r="V15" s="1" t="s">
        <v>127</v>
      </c>
      <c r="W15" s="1">
        <v>0.10549301320304701</v>
      </c>
      <c r="AA15" s="1">
        <v>0.10549301320304701</v>
      </c>
      <c r="AG15" s="1">
        <v>8</v>
      </c>
      <c r="AH15" s="1">
        <v>12</v>
      </c>
      <c r="AI15" s="1">
        <v>5</v>
      </c>
      <c r="AL15" s="1">
        <v>6</v>
      </c>
      <c r="AM15" s="1">
        <v>2</v>
      </c>
      <c r="AN15" s="1">
        <v>5</v>
      </c>
      <c r="AQ15" s="1">
        <v>138</v>
      </c>
      <c r="AR15" s="1">
        <v>114</v>
      </c>
      <c r="AS15" s="1">
        <v>233</v>
      </c>
      <c r="AV15" s="1">
        <v>14.2336131983713</v>
      </c>
      <c r="AW15" s="1">
        <v>4.5075290022505099</v>
      </c>
      <c r="AX15" s="1">
        <v>3.1759152402135999</v>
      </c>
      <c r="BC15" s="1">
        <v>3.1759152402135999</v>
      </c>
      <c r="BF15" s="1">
        <v>138</v>
      </c>
      <c r="BG15" s="1">
        <v>114</v>
      </c>
      <c r="BH15" s="1">
        <v>233</v>
      </c>
    </row>
    <row r="18" spans="4:51" x14ac:dyDescent="0.25">
      <c r="D18" s="1" t="str">
        <f>COMPLEX(2,4)</f>
        <v>2+4i</v>
      </c>
      <c r="E18" s="1">
        <v>6</v>
      </c>
      <c r="H18" s="1" t="str">
        <f>COMPLEX(2,4)</f>
        <v>2+4i</v>
      </c>
      <c r="I18" s="1">
        <v>6</v>
      </c>
      <c r="L18" s="1" t="s">
        <v>140</v>
      </c>
      <c r="M18" s="1" t="s">
        <v>141</v>
      </c>
      <c r="P18" s="1">
        <v>0.133630620956212</v>
      </c>
      <c r="V18" s="1">
        <v>0.133630620956212</v>
      </c>
      <c r="W18" s="1" t="s">
        <v>128</v>
      </c>
      <c r="Z18" s="1">
        <v>0.133630620956212</v>
      </c>
    </row>
    <row r="19" spans="4:51" x14ac:dyDescent="0.25">
      <c r="D19" s="1">
        <v>9</v>
      </c>
      <c r="E19" s="1" t="str">
        <f>COMPLEX(4,5)</f>
        <v>4+5i</v>
      </c>
      <c r="H19" s="1">
        <v>9</v>
      </c>
      <c r="I19" s="1" t="str">
        <f>COMPLEX(4,5)</f>
        <v>4+5i</v>
      </c>
      <c r="L19" s="1" t="s">
        <v>142</v>
      </c>
      <c r="M19" s="1" t="s">
        <v>143</v>
      </c>
      <c r="Q19" s="1">
        <v>0.10549301320304701</v>
      </c>
      <c r="W19" s="1">
        <v>0.10549301320304701</v>
      </c>
      <c r="Z19" s="1" t="s">
        <v>127</v>
      </c>
      <c r="AA19" s="1">
        <v>0.10549301320304701</v>
      </c>
    </row>
    <row r="20" spans="4:51" x14ac:dyDescent="0.25">
      <c r="AH20" s="1">
        <v>1489</v>
      </c>
      <c r="AI20" s="1" t="s">
        <v>18</v>
      </c>
      <c r="AJ20" s="1" t="s">
        <v>19</v>
      </c>
      <c r="AM20" s="1">
        <v>38.587562763149499</v>
      </c>
      <c r="AR20" s="1">
        <v>38.587562763149499</v>
      </c>
      <c r="AS20" s="1" t="s">
        <v>27</v>
      </c>
      <c r="AT20" s="1" t="s">
        <v>28</v>
      </c>
      <c r="AW20" s="1">
        <v>1489</v>
      </c>
      <c r="AX20" s="1" t="s">
        <v>30</v>
      </c>
      <c r="AY20" s="1" t="s">
        <v>31</v>
      </c>
    </row>
    <row r="21" spans="4:51" x14ac:dyDescent="0.25">
      <c r="AH21" s="1" t="s">
        <v>20</v>
      </c>
      <c r="AI21" s="1">
        <v>4000074</v>
      </c>
      <c r="AJ21" s="1" t="s">
        <v>21</v>
      </c>
      <c r="AM21" s="1" t="s">
        <v>24</v>
      </c>
      <c r="AN21" s="1">
        <v>1954.84397083302</v>
      </c>
      <c r="AS21" s="1">
        <v>1954.84397083302</v>
      </c>
      <c r="AT21" s="1" t="s">
        <v>29</v>
      </c>
      <c r="AW21" s="1" t="s">
        <v>32</v>
      </c>
      <c r="AX21" s="1">
        <v>4000073.9999999902</v>
      </c>
      <c r="AY21" s="1" t="s">
        <v>21</v>
      </c>
    </row>
    <row r="22" spans="4:51" x14ac:dyDescent="0.25">
      <c r="R22" s="1" t="s">
        <v>121</v>
      </c>
      <c r="S22" s="1">
        <v>9</v>
      </c>
      <c r="V22" s="1">
        <v>2.4244833068362399E-2</v>
      </c>
      <c r="W22" s="1" t="s">
        <v>129</v>
      </c>
      <c r="AH22" s="1" t="s">
        <v>22</v>
      </c>
      <c r="AI22" s="1" t="s">
        <v>23</v>
      </c>
      <c r="AJ22" s="1">
        <v>305</v>
      </c>
      <c r="AM22" s="1" t="s">
        <v>25</v>
      </c>
      <c r="AN22" s="1" t="s">
        <v>26</v>
      </c>
      <c r="AO22" s="1">
        <v>3.0211555305000402</v>
      </c>
      <c r="AT22" s="1">
        <v>3.0211555305000402</v>
      </c>
      <c r="AW22" s="1" t="s">
        <v>33</v>
      </c>
      <c r="AX22" s="1" t="s">
        <v>23</v>
      </c>
      <c r="AY22" s="1">
        <v>305</v>
      </c>
    </row>
    <row r="23" spans="4:51" x14ac:dyDescent="0.25">
      <c r="R23" s="1">
        <v>6</v>
      </c>
      <c r="S23" s="1" t="s">
        <v>122</v>
      </c>
      <c r="V23" s="1" t="s">
        <v>130</v>
      </c>
      <c r="W23" s="1">
        <v>1.1128775834658201E-2</v>
      </c>
    </row>
    <row r="25" spans="4:51" x14ac:dyDescent="0.25">
      <c r="R25" s="1" t="str">
        <f>COMPLEX(2,4)</f>
        <v>2+4i</v>
      </c>
      <c r="S25" s="1">
        <v>6</v>
      </c>
      <c r="V25" s="1" t="s">
        <v>131</v>
      </c>
      <c r="W25" s="1" t="s">
        <v>132</v>
      </c>
      <c r="Z25" s="1">
        <v>0.999999999999994</v>
      </c>
      <c r="AA25" s="1" t="s">
        <v>135</v>
      </c>
      <c r="AH25" s="1">
        <v>3490</v>
      </c>
      <c r="AI25" s="1" t="s">
        <v>34</v>
      </c>
      <c r="AJ25" s="1" t="s">
        <v>35</v>
      </c>
      <c r="AM25" s="1">
        <v>59.0762219509677</v>
      </c>
      <c r="AR25" s="1">
        <v>59.0762219509677</v>
      </c>
      <c r="AS25" s="1" t="s">
        <v>43</v>
      </c>
      <c r="AT25" s="1" t="s">
        <v>44</v>
      </c>
      <c r="AW25" s="1">
        <v>3490</v>
      </c>
      <c r="AX25" s="1" t="s">
        <v>34</v>
      </c>
      <c r="AY25" s="1" t="s">
        <v>35</v>
      </c>
    </row>
    <row r="26" spans="4:51" x14ac:dyDescent="0.25">
      <c r="R26" s="1">
        <v>9</v>
      </c>
      <c r="S26" s="1" t="str">
        <f>COMPLEX(4,5)</f>
        <v>4+5i</v>
      </c>
      <c r="V26" s="1" t="s">
        <v>133</v>
      </c>
      <c r="W26" s="1" t="s">
        <v>134</v>
      </c>
      <c r="Z26" s="1" t="s">
        <v>136</v>
      </c>
      <c r="AA26" s="1">
        <v>1</v>
      </c>
      <c r="AH26" s="1" t="s">
        <v>36</v>
      </c>
      <c r="AI26" s="1">
        <v>31509133</v>
      </c>
      <c r="AJ26" s="1" t="s">
        <v>37</v>
      </c>
      <c r="AM26" s="1" t="s">
        <v>40</v>
      </c>
      <c r="AN26" s="1">
        <v>1497.9846618967399</v>
      </c>
      <c r="AS26" s="1">
        <v>1497.9846618967399</v>
      </c>
      <c r="AT26" s="1" t="s">
        <v>45</v>
      </c>
      <c r="AW26" s="1" t="s">
        <v>36</v>
      </c>
      <c r="AX26" s="1">
        <v>31509133</v>
      </c>
      <c r="AY26" s="1" t="s">
        <v>37</v>
      </c>
    </row>
    <row r="27" spans="4:51" x14ac:dyDescent="0.25">
      <c r="AH27" s="1" t="s">
        <v>38</v>
      </c>
      <c r="AI27" s="1" t="s">
        <v>39</v>
      </c>
      <c r="AJ27" s="1">
        <v>493414</v>
      </c>
      <c r="AM27" s="1" t="s">
        <v>41</v>
      </c>
      <c r="AN27" s="1" t="s">
        <v>42</v>
      </c>
      <c r="AO27" s="1">
        <v>17.978027300568701</v>
      </c>
      <c r="AT27" s="1">
        <v>17.978027300568701</v>
      </c>
      <c r="AW27" s="1" t="s">
        <v>38</v>
      </c>
      <c r="AX27" s="1" t="s">
        <v>39</v>
      </c>
      <c r="AY27" s="1">
        <v>493414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Y27"/>
  <sheetViews>
    <sheetView workbookViewId="0">
      <selection activeCell="D14" sqref="D14"/>
    </sheetView>
  </sheetViews>
  <sheetFormatPr defaultRowHeight="15" x14ac:dyDescent="0.25"/>
  <sheetData>
    <row r="3" spans="3:22" x14ac:dyDescent="0.25">
      <c r="C3">
        <v>2</v>
      </c>
      <c r="D3">
        <v>0</v>
      </c>
      <c r="E3">
        <v>0</v>
      </c>
      <c r="F3">
        <v>1.5</v>
      </c>
      <c r="G3">
        <v>1</v>
      </c>
      <c r="H3">
        <v>0.500000000000002</v>
      </c>
      <c r="J3">
        <v>5</v>
      </c>
      <c r="K3">
        <v>6</v>
      </c>
      <c r="L3">
        <v>8</v>
      </c>
      <c r="M3">
        <v>9</v>
      </c>
      <c r="N3">
        <v>1</v>
      </c>
      <c r="O3">
        <v>0</v>
      </c>
      <c r="P3">
        <v>0</v>
      </c>
      <c r="Q3">
        <v>0</v>
      </c>
    </row>
    <row r="4" spans="3:22" x14ac:dyDescent="0.25">
      <c r="C4">
        <v>0</v>
      </c>
      <c r="D4">
        <v>1.5</v>
      </c>
      <c r="E4">
        <v>0</v>
      </c>
      <c r="F4">
        <v>0.75</v>
      </c>
      <c r="G4">
        <v>1.5</v>
      </c>
      <c r="H4">
        <v>0.750000000000002</v>
      </c>
      <c r="J4">
        <v>0</v>
      </c>
      <c r="K4">
        <v>-84.4</v>
      </c>
      <c r="L4">
        <v>-117.2</v>
      </c>
      <c r="M4">
        <v>-129.6</v>
      </c>
      <c r="N4">
        <v>-15.4</v>
      </c>
      <c r="O4">
        <v>1</v>
      </c>
      <c r="P4">
        <v>0</v>
      </c>
      <c r="Q4">
        <v>0</v>
      </c>
    </row>
    <row r="5" spans="3:22" x14ac:dyDescent="0.25">
      <c r="C5">
        <v>0</v>
      </c>
      <c r="D5">
        <v>0</v>
      </c>
      <c r="E5">
        <v>1.3333333333333299</v>
      </c>
      <c r="F5">
        <v>0.33333333333333298</v>
      </c>
      <c r="G5">
        <v>0.66666666666666696</v>
      </c>
      <c r="H5">
        <v>1</v>
      </c>
      <c r="J5">
        <v>2</v>
      </c>
      <c r="K5">
        <v>0</v>
      </c>
      <c r="L5">
        <v>-1.1658767772512999</v>
      </c>
      <c r="M5">
        <v>-0.60663507109009596</v>
      </c>
      <c r="N5">
        <v>-0.54739336492891999</v>
      </c>
      <c r="O5">
        <v>3.5545023696682998E-2</v>
      </c>
      <c r="P5">
        <v>1</v>
      </c>
      <c r="Q5">
        <v>0</v>
      </c>
    </row>
    <row r="6" spans="3:22" x14ac:dyDescent="0.25">
      <c r="J6">
        <v>1.8</v>
      </c>
      <c r="K6">
        <v>-18.056000000000001</v>
      </c>
      <c r="L6">
        <v>0</v>
      </c>
      <c r="M6">
        <v>-14.053658536585599</v>
      </c>
      <c r="N6">
        <v>7.5384878048770796</v>
      </c>
      <c r="O6">
        <v>-0.48951219512188898</v>
      </c>
      <c r="P6">
        <v>-21.123609756095501</v>
      </c>
      <c r="Q6">
        <v>1</v>
      </c>
    </row>
    <row r="8" spans="3:22" x14ac:dyDescent="0.25">
      <c r="C8">
        <v>2</v>
      </c>
      <c r="D8">
        <v>-1</v>
      </c>
      <c r="J8">
        <v>5</v>
      </c>
      <c r="K8">
        <v>8</v>
      </c>
      <c r="L8">
        <v>9</v>
      </c>
      <c r="M8">
        <v>7</v>
      </c>
      <c r="N8">
        <v>1</v>
      </c>
      <c r="O8">
        <v>0</v>
      </c>
      <c r="P8">
        <v>0</v>
      </c>
      <c r="Q8">
        <v>0</v>
      </c>
    </row>
    <row r="9" spans="3:22" x14ac:dyDescent="0.25">
      <c r="C9">
        <v>-1</v>
      </c>
      <c r="D9">
        <v>2</v>
      </c>
      <c r="E9">
        <v>-1</v>
      </c>
      <c r="J9">
        <v>0</v>
      </c>
      <c r="K9">
        <v>2.8</v>
      </c>
      <c r="L9">
        <v>5.4</v>
      </c>
      <c r="M9">
        <v>5.2</v>
      </c>
      <c r="N9">
        <v>-0.4</v>
      </c>
      <c r="O9">
        <v>1</v>
      </c>
      <c r="P9">
        <v>0</v>
      </c>
      <c r="Q9">
        <v>0</v>
      </c>
    </row>
    <row r="10" spans="3:22" x14ac:dyDescent="0.25">
      <c r="D10">
        <v>-1</v>
      </c>
      <c r="E10">
        <v>2</v>
      </c>
      <c r="J10">
        <v>0</v>
      </c>
      <c r="K10" s="2">
        <v>-9.9920072216264108E-16</v>
      </c>
      <c r="L10">
        <v>-0.14285714285713999</v>
      </c>
      <c r="M10">
        <v>1.71428571428571</v>
      </c>
      <c r="N10">
        <v>-0.28571428571428598</v>
      </c>
      <c r="O10">
        <v>-0.28571428571428598</v>
      </c>
      <c r="P10">
        <v>1</v>
      </c>
      <c r="Q10">
        <v>0</v>
      </c>
    </row>
    <row r="11" spans="3:22" x14ac:dyDescent="0.25">
      <c r="C11" t="s">
        <v>66</v>
      </c>
      <c r="J11">
        <v>0</v>
      </c>
      <c r="K11" s="2">
        <v>9.9920072216264108E-16</v>
      </c>
      <c r="L11" s="2">
        <v>-1.06581410364015E-14</v>
      </c>
      <c r="M11">
        <v>56.000000000000902</v>
      </c>
      <c r="N11">
        <v>-9.0000000000001705</v>
      </c>
      <c r="O11">
        <v>-8.0000000000001705</v>
      </c>
      <c r="P11">
        <v>29.0000000000006</v>
      </c>
      <c r="Q11">
        <v>1</v>
      </c>
    </row>
    <row r="14" spans="3:22" x14ac:dyDescent="0.25">
      <c r="C14">
        <v>2</v>
      </c>
      <c r="D14">
        <v>0</v>
      </c>
      <c r="E14">
        <v>1</v>
      </c>
      <c r="F14">
        <v>0</v>
      </c>
      <c r="J14">
        <v>5</v>
      </c>
      <c r="K14">
        <v>8</v>
      </c>
      <c r="L14">
        <v>9</v>
      </c>
      <c r="M14">
        <v>7</v>
      </c>
      <c r="O14">
        <v>5</v>
      </c>
      <c r="P14" s="2">
        <v>1.9539925233402799E-14</v>
      </c>
      <c r="Q14" s="2">
        <v>-1.06581410364015E-14</v>
      </c>
      <c r="R14">
        <v>0</v>
      </c>
      <c r="S14">
        <v>1.33928571428567</v>
      </c>
      <c r="T14">
        <v>-2.1428571428571699</v>
      </c>
      <c r="U14">
        <v>-0.98214285714275995</v>
      </c>
      <c r="V14">
        <v>1.5178571428571499</v>
      </c>
    </row>
    <row r="15" spans="3:22" x14ac:dyDescent="0.25">
      <c r="C15">
        <v>0</v>
      </c>
      <c r="D15">
        <v>2</v>
      </c>
      <c r="E15">
        <v>0</v>
      </c>
      <c r="F15">
        <v>1</v>
      </c>
      <c r="J15">
        <v>2</v>
      </c>
      <c r="K15">
        <v>6</v>
      </c>
      <c r="L15">
        <v>9</v>
      </c>
      <c r="M15">
        <v>8</v>
      </c>
      <c r="O15">
        <v>0</v>
      </c>
      <c r="P15">
        <v>2.7999999999999599</v>
      </c>
      <c r="Q15" s="2">
        <v>-9.7699626167013807E-15</v>
      </c>
      <c r="R15" s="2">
        <v>-9.7699626167013807E-15</v>
      </c>
      <c r="S15">
        <v>5.0000000000035003E-2</v>
      </c>
      <c r="T15">
        <v>0.20000000000002</v>
      </c>
      <c r="U15">
        <v>1.5499999999998999</v>
      </c>
      <c r="V15">
        <v>-1.25</v>
      </c>
    </row>
    <row r="16" spans="3:22" x14ac:dyDescent="0.25">
      <c r="J16">
        <v>2</v>
      </c>
      <c r="K16">
        <v>4</v>
      </c>
      <c r="L16">
        <v>5</v>
      </c>
      <c r="M16">
        <v>6</v>
      </c>
      <c r="O16">
        <v>0</v>
      </c>
      <c r="P16" s="2">
        <v>-1.0297884993717001E-15</v>
      </c>
      <c r="Q16">
        <v>-0.14285714285713999</v>
      </c>
      <c r="R16">
        <v>0</v>
      </c>
      <c r="S16">
        <v>-1.0204081632652E-2</v>
      </c>
      <c r="T16">
        <v>-4.0816326530611E-2</v>
      </c>
      <c r="U16">
        <v>0.112244897959179</v>
      </c>
      <c r="V16">
        <v>-3.0612244897958701E-2</v>
      </c>
    </row>
    <row r="17" spans="5:25" x14ac:dyDescent="0.25">
      <c r="J17">
        <v>3</v>
      </c>
      <c r="K17">
        <v>4</v>
      </c>
      <c r="L17">
        <v>8</v>
      </c>
      <c r="M17">
        <v>9</v>
      </c>
      <c r="O17">
        <v>0</v>
      </c>
      <c r="P17" s="2">
        <v>9.9920072216264108E-16</v>
      </c>
      <c r="Q17" s="2">
        <v>-1.06581410364015E-14</v>
      </c>
      <c r="R17">
        <v>56.000000000000902</v>
      </c>
      <c r="S17">
        <v>-9.0000000000001705</v>
      </c>
      <c r="T17">
        <v>-8.0000000000001705</v>
      </c>
      <c r="U17">
        <v>29.0000000000006</v>
      </c>
      <c r="V17">
        <v>1</v>
      </c>
    </row>
    <row r="20" spans="5:25" x14ac:dyDescent="0.25">
      <c r="E20">
        <v>360</v>
      </c>
      <c r="F20" t="s">
        <v>49</v>
      </c>
      <c r="G20" t="s">
        <v>50</v>
      </c>
      <c r="J20" t="s">
        <v>75</v>
      </c>
      <c r="K20">
        <v>0</v>
      </c>
      <c r="L20">
        <v>0</v>
      </c>
      <c r="M20" t="s">
        <v>81</v>
      </c>
      <c r="N20" t="s">
        <v>80</v>
      </c>
      <c r="O20" t="s">
        <v>79</v>
      </c>
      <c r="R20" t="s">
        <v>85</v>
      </c>
      <c r="S20" t="s">
        <v>86</v>
      </c>
      <c r="T20" t="s">
        <v>87</v>
      </c>
      <c r="W20" t="s">
        <v>93</v>
      </c>
      <c r="X20" s="2">
        <v>9.9920072216264108E-16</v>
      </c>
      <c r="Y20" t="s">
        <v>94</v>
      </c>
    </row>
    <row r="21" spans="5:25" x14ac:dyDescent="0.25">
      <c r="E21" t="s">
        <v>51</v>
      </c>
      <c r="F21">
        <v>155</v>
      </c>
      <c r="G21" t="s">
        <v>52</v>
      </c>
      <c r="J21" s="2">
        <v>-9.9475983006414001E-14</v>
      </c>
      <c r="K21" t="s">
        <v>74</v>
      </c>
      <c r="L21" t="s">
        <v>73</v>
      </c>
      <c r="M21" t="s">
        <v>78</v>
      </c>
      <c r="N21" t="s">
        <v>77</v>
      </c>
      <c r="O21" t="s">
        <v>76</v>
      </c>
      <c r="R21" t="s">
        <v>88</v>
      </c>
      <c r="S21" t="s">
        <v>89</v>
      </c>
      <c r="T21" t="s">
        <v>90</v>
      </c>
      <c r="W21" t="s">
        <v>95</v>
      </c>
      <c r="X21" t="s">
        <v>96</v>
      </c>
      <c r="Y21" s="2">
        <v>-9.9920072216264108E-16</v>
      </c>
    </row>
    <row r="22" spans="5:25" x14ac:dyDescent="0.25">
      <c r="E22" t="s">
        <v>53</v>
      </c>
      <c r="F22" t="s">
        <v>54</v>
      </c>
      <c r="G22">
        <v>396</v>
      </c>
      <c r="J22">
        <v>0</v>
      </c>
      <c r="K22" t="s">
        <v>69</v>
      </c>
      <c r="L22" t="s">
        <v>70</v>
      </c>
      <c r="M22" t="s">
        <v>71</v>
      </c>
      <c r="N22" t="s">
        <v>72</v>
      </c>
      <c r="O22">
        <v>1</v>
      </c>
      <c r="R22" t="s">
        <v>91</v>
      </c>
      <c r="S22" t="s">
        <v>92</v>
      </c>
      <c r="T22" t="s">
        <v>84</v>
      </c>
      <c r="W22" t="s">
        <v>97</v>
      </c>
      <c r="X22" t="s">
        <v>98</v>
      </c>
      <c r="Y22" t="s">
        <v>99</v>
      </c>
    </row>
    <row r="25" spans="5:25" x14ac:dyDescent="0.25">
      <c r="E25">
        <v>2.7777777777777801E-3</v>
      </c>
      <c r="J25" t="s">
        <v>82</v>
      </c>
    </row>
    <row r="26" spans="5:25" x14ac:dyDescent="0.25">
      <c r="F26">
        <v>6.4516129032258099E-3</v>
      </c>
      <c r="K26" t="s">
        <v>83</v>
      </c>
    </row>
    <row r="27" spans="5:25" x14ac:dyDescent="0.25">
      <c r="G27">
        <v>2.5252525252525298E-3</v>
      </c>
      <c r="L27" t="s">
        <v>84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Y34"/>
  <sheetViews>
    <sheetView topLeftCell="A4" zoomScale="85" zoomScaleNormal="85" workbookViewId="0">
      <selection activeCell="V9" sqref="V9"/>
    </sheetView>
  </sheetViews>
  <sheetFormatPr defaultRowHeight="15" x14ac:dyDescent="0.25"/>
  <cols>
    <col min="1" max="16384" width="9.140625" style="1"/>
  </cols>
  <sheetData>
    <row r="3" spans="2:25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2:25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2:25" x14ac:dyDescent="0.25">
      <c r="B5" s="4"/>
      <c r="C5" s="4">
        <v>0.25</v>
      </c>
      <c r="D5" s="4">
        <v>0.25</v>
      </c>
      <c r="E5" s="4">
        <v>0.25</v>
      </c>
      <c r="F5" s="4">
        <v>0.25</v>
      </c>
      <c r="G5" s="4">
        <v>0.25</v>
      </c>
      <c r="H5" s="4">
        <v>0.25</v>
      </c>
      <c r="I5" s="4">
        <v>0.25</v>
      </c>
      <c r="J5" s="4">
        <v>0.25</v>
      </c>
      <c r="K5" s="4">
        <v>0.25</v>
      </c>
      <c r="L5" s="4">
        <v>0.25</v>
      </c>
      <c r="M5" s="4">
        <v>0.25</v>
      </c>
      <c r="N5" s="4">
        <v>0.25</v>
      </c>
      <c r="O5" s="4">
        <v>0.25</v>
      </c>
      <c r="P5" s="4">
        <v>0.25</v>
      </c>
      <c r="Q5" s="4">
        <v>0.25</v>
      </c>
      <c r="R5" s="4">
        <v>0.25</v>
      </c>
      <c r="S5" s="4"/>
      <c r="T5" s="4"/>
      <c r="U5" s="5" t="s">
        <v>165</v>
      </c>
      <c r="V5" s="4"/>
      <c r="W5" s="4">
        <v>0.5</v>
      </c>
      <c r="X5" s="5" t="s">
        <v>165</v>
      </c>
      <c r="Y5" s="4"/>
    </row>
    <row r="6" spans="2:25" x14ac:dyDescent="0.25">
      <c r="B6" s="4"/>
      <c r="C6" s="4">
        <v>0.25</v>
      </c>
      <c r="D6" s="4">
        <v>-0.25</v>
      </c>
      <c r="E6" s="4">
        <v>0.25</v>
      </c>
      <c r="F6" s="4">
        <v>-0.25</v>
      </c>
      <c r="G6" s="4">
        <v>0.25</v>
      </c>
      <c r="H6" s="4">
        <v>-0.25</v>
      </c>
      <c r="I6" s="4">
        <v>0.25</v>
      </c>
      <c r="J6" s="4">
        <v>-0.25</v>
      </c>
      <c r="K6" s="4">
        <v>0.25</v>
      </c>
      <c r="L6" s="4">
        <v>-0.25</v>
      </c>
      <c r="M6" s="4">
        <v>0.25</v>
      </c>
      <c r="N6" s="4">
        <v>-0.25</v>
      </c>
      <c r="O6" s="4">
        <v>0.25</v>
      </c>
      <c r="P6" s="4">
        <v>-0.25</v>
      </c>
      <c r="Q6" s="4">
        <v>0.25</v>
      </c>
      <c r="R6" s="4">
        <v>-0.25</v>
      </c>
      <c r="S6" s="4"/>
      <c r="T6" s="4">
        <v>0.5</v>
      </c>
      <c r="U6" s="8" t="s">
        <v>166</v>
      </c>
      <c r="V6" s="4"/>
      <c r="W6" s="4">
        <v>-0.25</v>
      </c>
      <c r="X6" s="5" t="s">
        <v>166</v>
      </c>
      <c r="Y6" s="4"/>
    </row>
    <row r="7" spans="2:25" x14ac:dyDescent="0.25">
      <c r="B7" s="4"/>
      <c r="C7" s="4">
        <v>0.25</v>
      </c>
      <c r="D7" s="4">
        <v>0.25</v>
      </c>
      <c r="E7" s="4">
        <v>-0.25</v>
      </c>
      <c r="F7" s="4">
        <v>-0.25</v>
      </c>
      <c r="G7" s="4">
        <v>0.25</v>
      </c>
      <c r="H7" s="4">
        <v>0.25</v>
      </c>
      <c r="I7" s="4">
        <v>-0.25</v>
      </c>
      <c r="J7" s="4">
        <v>-0.25</v>
      </c>
      <c r="K7" s="4">
        <v>0.25</v>
      </c>
      <c r="L7" s="4">
        <v>0.25</v>
      </c>
      <c r="M7" s="4">
        <v>-0.25</v>
      </c>
      <c r="N7" s="4">
        <v>-0.25</v>
      </c>
      <c r="O7" s="4">
        <v>0.25</v>
      </c>
      <c r="P7" s="4">
        <v>0.25</v>
      </c>
      <c r="Q7" s="4">
        <v>-0.25</v>
      </c>
      <c r="R7" s="4">
        <v>-0.25</v>
      </c>
      <c r="S7" s="4"/>
      <c r="T7" s="4"/>
      <c r="U7" s="5" t="s">
        <v>167</v>
      </c>
      <c r="V7" s="4"/>
      <c r="W7" s="4">
        <v>0</v>
      </c>
      <c r="X7" s="5" t="s">
        <v>167</v>
      </c>
      <c r="Y7" s="4"/>
    </row>
    <row r="8" spans="2:25" x14ac:dyDescent="0.25">
      <c r="B8" s="4"/>
      <c r="C8" s="4">
        <v>0.25</v>
      </c>
      <c r="D8" s="4">
        <v>-0.25</v>
      </c>
      <c r="E8" s="4">
        <v>-0.25</v>
      </c>
      <c r="F8" s="4">
        <v>0.25</v>
      </c>
      <c r="G8" s="4">
        <v>0.25</v>
      </c>
      <c r="H8" s="4">
        <v>-0.25</v>
      </c>
      <c r="I8" s="4">
        <v>-0.25</v>
      </c>
      <c r="J8" s="4">
        <v>0.25</v>
      </c>
      <c r="K8" s="4">
        <v>0.25</v>
      </c>
      <c r="L8" s="4">
        <v>-0.25</v>
      </c>
      <c r="M8" s="4">
        <v>-0.25</v>
      </c>
      <c r="N8" s="4">
        <v>0.25</v>
      </c>
      <c r="O8" s="4">
        <v>0.25</v>
      </c>
      <c r="P8" s="4">
        <v>-0.25</v>
      </c>
      <c r="Q8" s="4">
        <v>-0.25</v>
      </c>
      <c r="R8" s="4">
        <v>0.25</v>
      </c>
      <c r="S8" s="4"/>
      <c r="T8" s="4"/>
      <c r="U8" s="5" t="s">
        <v>168</v>
      </c>
      <c r="V8" s="4"/>
      <c r="W8" s="4">
        <v>-0.25</v>
      </c>
      <c r="X8" s="5" t="s">
        <v>168</v>
      </c>
      <c r="Y8" s="4"/>
    </row>
    <row r="9" spans="2:25" x14ac:dyDescent="0.25">
      <c r="B9" s="4"/>
      <c r="C9" s="4">
        <v>0.25</v>
      </c>
      <c r="D9" s="4">
        <v>0.25</v>
      </c>
      <c r="E9" s="4">
        <v>0.25</v>
      </c>
      <c r="F9" s="4">
        <v>0.25</v>
      </c>
      <c r="G9" s="4">
        <v>-0.25</v>
      </c>
      <c r="H9" s="4">
        <v>-0.25</v>
      </c>
      <c r="I9" s="4">
        <v>-0.25</v>
      </c>
      <c r="J9" s="4">
        <v>-0.25</v>
      </c>
      <c r="K9" s="4">
        <v>0.25</v>
      </c>
      <c r="L9" s="4">
        <v>0.25</v>
      </c>
      <c r="M9" s="4">
        <v>0.25</v>
      </c>
      <c r="N9" s="4">
        <v>0.25</v>
      </c>
      <c r="O9" s="4">
        <v>-0.25</v>
      </c>
      <c r="P9" s="4">
        <v>-0.25</v>
      </c>
      <c r="Q9" s="4">
        <v>-0.25</v>
      </c>
      <c r="R9" s="4">
        <v>-0.25</v>
      </c>
      <c r="S9" s="4"/>
      <c r="T9" s="4"/>
      <c r="U9" s="5" t="s">
        <v>169</v>
      </c>
      <c r="V9" s="4"/>
      <c r="W9" s="4">
        <v>0.25</v>
      </c>
      <c r="X9" s="5" t="s">
        <v>169</v>
      </c>
      <c r="Y9" s="4"/>
    </row>
    <row r="10" spans="2:25" x14ac:dyDescent="0.25">
      <c r="B10" s="4"/>
      <c r="C10" s="4">
        <v>0.25</v>
      </c>
      <c r="D10" s="4">
        <v>-0.25</v>
      </c>
      <c r="E10" s="4">
        <v>0.25</v>
      </c>
      <c r="F10" s="4">
        <v>-0.25</v>
      </c>
      <c r="G10" s="4">
        <v>-0.25</v>
      </c>
      <c r="H10" s="4">
        <v>0.25</v>
      </c>
      <c r="I10" s="4">
        <v>-0.25</v>
      </c>
      <c r="J10" s="4">
        <v>0.25</v>
      </c>
      <c r="K10" s="4">
        <v>0.25</v>
      </c>
      <c r="L10" s="4">
        <v>-0.25</v>
      </c>
      <c r="M10" s="4">
        <v>0.25</v>
      </c>
      <c r="N10" s="4">
        <v>-0.25</v>
      </c>
      <c r="O10" s="4">
        <v>-0.25</v>
      </c>
      <c r="P10" s="4">
        <v>0.25</v>
      </c>
      <c r="Q10" s="4">
        <v>-0.25</v>
      </c>
      <c r="R10" s="4">
        <v>0.25</v>
      </c>
      <c r="S10" s="4"/>
      <c r="T10" s="4">
        <v>0.5</v>
      </c>
      <c r="U10" s="8" t="s">
        <v>170</v>
      </c>
      <c r="V10" s="4"/>
      <c r="W10" s="4">
        <v>0</v>
      </c>
      <c r="X10" s="5" t="s">
        <v>170</v>
      </c>
      <c r="Y10" s="4"/>
    </row>
    <row r="11" spans="2:25" x14ac:dyDescent="0.25">
      <c r="B11" s="4"/>
      <c r="C11" s="4">
        <v>0.25</v>
      </c>
      <c r="D11" s="4">
        <v>0.25</v>
      </c>
      <c r="E11" s="4">
        <v>-0.25</v>
      </c>
      <c r="F11" s="4">
        <v>-0.25</v>
      </c>
      <c r="G11" s="4">
        <v>-0.25</v>
      </c>
      <c r="H11" s="4">
        <v>-0.25</v>
      </c>
      <c r="I11" s="4">
        <v>0.25</v>
      </c>
      <c r="J11" s="4">
        <v>0.25</v>
      </c>
      <c r="K11" s="4">
        <v>0.25</v>
      </c>
      <c r="L11" s="4">
        <v>0.25</v>
      </c>
      <c r="M11" s="4">
        <v>-0.25</v>
      </c>
      <c r="N11" s="4">
        <v>-0.25</v>
      </c>
      <c r="O11" s="4">
        <v>-0.25</v>
      </c>
      <c r="P11" s="4">
        <v>-0.25</v>
      </c>
      <c r="Q11" s="4">
        <v>0.25</v>
      </c>
      <c r="R11" s="4">
        <v>0.25</v>
      </c>
      <c r="S11" s="4"/>
      <c r="T11" s="4"/>
      <c r="U11" s="5" t="s">
        <v>171</v>
      </c>
      <c r="V11" s="4"/>
      <c r="W11" s="4">
        <v>-0.25</v>
      </c>
      <c r="X11" s="5" t="s">
        <v>171</v>
      </c>
      <c r="Y11" s="4"/>
    </row>
    <row r="12" spans="2:25" x14ac:dyDescent="0.25">
      <c r="B12" s="4"/>
      <c r="C12" s="4">
        <v>0.25</v>
      </c>
      <c r="D12" s="4">
        <v>-0.25</v>
      </c>
      <c r="E12" s="4">
        <v>-0.25</v>
      </c>
      <c r="F12" s="4">
        <v>0.25</v>
      </c>
      <c r="G12" s="4">
        <v>-0.25</v>
      </c>
      <c r="H12" s="4">
        <v>0.25</v>
      </c>
      <c r="I12" s="4">
        <v>0.25</v>
      </c>
      <c r="J12" s="4">
        <v>-0.25</v>
      </c>
      <c r="K12" s="4">
        <v>0.25</v>
      </c>
      <c r="L12" s="4">
        <v>-0.25</v>
      </c>
      <c r="M12" s="4">
        <v>-0.25</v>
      </c>
      <c r="N12" s="4">
        <v>0.25</v>
      </c>
      <c r="O12" s="4">
        <v>-0.25</v>
      </c>
      <c r="P12" s="4">
        <v>0.25</v>
      </c>
      <c r="Q12" s="4">
        <v>0.25</v>
      </c>
      <c r="R12" s="4">
        <v>-0.25</v>
      </c>
      <c r="S12" s="4"/>
      <c r="T12" s="4"/>
      <c r="U12" s="5" t="s">
        <v>172</v>
      </c>
      <c r="V12" s="4"/>
      <c r="W12" s="4">
        <v>0</v>
      </c>
      <c r="X12" s="5" t="s">
        <v>172</v>
      </c>
      <c r="Y12" s="4"/>
    </row>
    <row r="13" spans="2:25" x14ac:dyDescent="0.25">
      <c r="B13" s="4"/>
      <c r="C13" s="4">
        <v>0.25</v>
      </c>
      <c r="D13" s="4">
        <v>0.25</v>
      </c>
      <c r="E13" s="4">
        <v>0.25</v>
      </c>
      <c r="F13" s="4">
        <v>0.25</v>
      </c>
      <c r="G13" s="4">
        <v>0.25</v>
      </c>
      <c r="H13" s="4">
        <v>0.25</v>
      </c>
      <c r="I13" s="4">
        <v>0.25</v>
      </c>
      <c r="J13" s="4">
        <v>0.25</v>
      </c>
      <c r="K13" s="4">
        <v>-0.25</v>
      </c>
      <c r="L13" s="4">
        <v>-0.25</v>
      </c>
      <c r="M13" s="4">
        <v>-0.25</v>
      </c>
      <c r="N13" s="4">
        <v>-0.25</v>
      </c>
      <c r="O13" s="4">
        <v>-0.25</v>
      </c>
      <c r="P13" s="4">
        <v>-0.25</v>
      </c>
      <c r="Q13" s="4">
        <v>-0.25</v>
      </c>
      <c r="R13" s="4">
        <v>-0.25</v>
      </c>
      <c r="S13" s="4"/>
      <c r="T13" s="4"/>
      <c r="U13" s="5" t="s">
        <v>173</v>
      </c>
      <c r="V13" s="4"/>
      <c r="W13" s="4">
        <v>0</v>
      </c>
      <c r="X13" s="5" t="s">
        <v>173</v>
      </c>
      <c r="Y13" s="4"/>
    </row>
    <row r="14" spans="2:25" x14ac:dyDescent="0.25">
      <c r="B14" s="4"/>
      <c r="C14" s="4">
        <v>0.25</v>
      </c>
      <c r="D14" s="4">
        <v>-0.25</v>
      </c>
      <c r="E14" s="4">
        <v>0.25</v>
      </c>
      <c r="F14" s="4">
        <v>-0.25</v>
      </c>
      <c r="G14" s="4">
        <v>0.25</v>
      </c>
      <c r="H14" s="4">
        <v>-0.25</v>
      </c>
      <c r="I14" s="4">
        <v>0.25</v>
      </c>
      <c r="J14" s="4">
        <v>-0.25</v>
      </c>
      <c r="K14" s="4">
        <v>-0.25</v>
      </c>
      <c r="L14" s="4">
        <v>0.25</v>
      </c>
      <c r="M14" s="4">
        <v>-0.25</v>
      </c>
      <c r="N14" s="4">
        <v>0.25</v>
      </c>
      <c r="O14" s="4">
        <v>-0.25</v>
      </c>
      <c r="P14" s="4">
        <v>0.25</v>
      </c>
      <c r="Q14" s="4">
        <v>-0.25</v>
      </c>
      <c r="R14" s="4">
        <v>0.25</v>
      </c>
      <c r="S14" s="4"/>
      <c r="T14" s="4"/>
      <c r="U14" s="5" t="s">
        <v>174</v>
      </c>
      <c r="V14" s="4"/>
      <c r="W14" s="4">
        <v>-0.25</v>
      </c>
      <c r="X14" s="5" t="s">
        <v>174</v>
      </c>
      <c r="Y14" s="4"/>
    </row>
    <row r="15" spans="2:25" x14ac:dyDescent="0.25">
      <c r="B15" s="4"/>
      <c r="C15" s="4">
        <v>0.25</v>
      </c>
      <c r="D15" s="4">
        <v>0.25</v>
      </c>
      <c r="E15" s="4">
        <v>-0.25</v>
      </c>
      <c r="F15" s="4">
        <v>-0.25</v>
      </c>
      <c r="G15" s="4">
        <v>0.25</v>
      </c>
      <c r="H15" s="4">
        <v>0.25</v>
      </c>
      <c r="I15" s="4">
        <v>-0.25</v>
      </c>
      <c r="J15" s="4">
        <v>-0.25</v>
      </c>
      <c r="K15" s="4">
        <v>-0.25</v>
      </c>
      <c r="L15" s="4">
        <v>-0.25</v>
      </c>
      <c r="M15" s="4">
        <v>0.25</v>
      </c>
      <c r="N15" s="4">
        <v>0.25</v>
      </c>
      <c r="O15" s="4">
        <v>-0.25</v>
      </c>
      <c r="P15" s="4">
        <v>-0.25</v>
      </c>
      <c r="Q15" s="4">
        <v>0.25</v>
      </c>
      <c r="R15" s="4">
        <v>0.25</v>
      </c>
      <c r="S15" s="4"/>
      <c r="T15" s="4">
        <v>0.5</v>
      </c>
      <c r="U15" s="8" t="s">
        <v>175</v>
      </c>
      <c r="V15" s="4"/>
      <c r="W15" s="4">
        <v>0.5</v>
      </c>
      <c r="X15" s="5" t="s">
        <v>175</v>
      </c>
      <c r="Y15" s="4"/>
    </row>
    <row r="16" spans="2:25" x14ac:dyDescent="0.25">
      <c r="B16" s="4"/>
      <c r="C16" s="4">
        <v>0.25</v>
      </c>
      <c r="D16" s="4">
        <v>-0.25</v>
      </c>
      <c r="E16" s="4">
        <v>-0.25</v>
      </c>
      <c r="F16" s="4">
        <v>0.25</v>
      </c>
      <c r="G16" s="4">
        <v>0.25</v>
      </c>
      <c r="H16" s="4">
        <v>-0.25</v>
      </c>
      <c r="I16" s="4">
        <v>-0.25</v>
      </c>
      <c r="J16" s="4">
        <v>0.25</v>
      </c>
      <c r="K16" s="4">
        <v>-0.25</v>
      </c>
      <c r="L16" s="4">
        <v>0.25</v>
      </c>
      <c r="M16" s="4">
        <v>0.25</v>
      </c>
      <c r="N16" s="4">
        <v>-0.25</v>
      </c>
      <c r="O16" s="4">
        <v>-0.25</v>
      </c>
      <c r="P16" s="4">
        <v>0.25</v>
      </c>
      <c r="Q16" s="4">
        <v>0.25</v>
      </c>
      <c r="R16" s="4">
        <v>-0.25</v>
      </c>
      <c r="S16" s="4"/>
      <c r="T16" s="4">
        <v>0.5</v>
      </c>
      <c r="U16" s="8" t="s">
        <v>176</v>
      </c>
      <c r="V16" s="4"/>
      <c r="W16" s="4">
        <v>-0.25</v>
      </c>
      <c r="X16" s="5" t="s">
        <v>176</v>
      </c>
      <c r="Y16" s="4"/>
    </row>
    <row r="17" spans="2:25" x14ac:dyDescent="0.25">
      <c r="B17" s="4"/>
      <c r="C17" s="4">
        <v>0.25</v>
      </c>
      <c r="D17" s="4">
        <v>0.25</v>
      </c>
      <c r="E17" s="4">
        <v>0.25</v>
      </c>
      <c r="F17" s="4">
        <v>0.25</v>
      </c>
      <c r="G17" s="4">
        <v>-0.25</v>
      </c>
      <c r="H17" s="4">
        <v>-0.25</v>
      </c>
      <c r="I17" s="4">
        <v>-0.25</v>
      </c>
      <c r="J17" s="4">
        <v>-0.25</v>
      </c>
      <c r="K17" s="4">
        <v>-0.25</v>
      </c>
      <c r="L17" s="4">
        <v>-0.25</v>
      </c>
      <c r="M17" s="4">
        <v>-0.25</v>
      </c>
      <c r="N17" s="4">
        <v>-0.25</v>
      </c>
      <c r="O17" s="4">
        <v>0.25</v>
      </c>
      <c r="P17" s="4">
        <v>0.25</v>
      </c>
      <c r="Q17" s="4">
        <v>0.25</v>
      </c>
      <c r="R17" s="4">
        <v>0.25</v>
      </c>
      <c r="S17" s="4"/>
      <c r="T17" s="4"/>
      <c r="U17" s="5" t="s">
        <v>177</v>
      </c>
      <c r="V17" s="4"/>
      <c r="W17" s="4">
        <v>-0.25</v>
      </c>
      <c r="X17" s="5" t="s">
        <v>177</v>
      </c>
      <c r="Y17" s="4"/>
    </row>
    <row r="18" spans="2:25" x14ac:dyDescent="0.25">
      <c r="B18" s="4"/>
      <c r="C18" s="4">
        <v>0.25</v>
      </c>
      <c r="D18" s="4">
        <v>-0.25</v>
      </c>
      <c r="E18" s="4">
        <v>0.25</v>
      </c>
      <c r="F18" s="4">
        <v>-0.25</v>
      </c>
      <c r="G18" s="4">
        <v>-0.25</v>
      </c>
      <c r="H18" s="4">
        <v>0.25</v>
      </c>
      <c r="I18" s="4">
        <v>-0.25</v>
      </c>
      <c r="J18" s="4">
        <v>0.25</v>
      </c>
      <c r="K18" s="4">
        <v>-0.25</v>
      </c>
      <c r="L18" s="4">
        <v>0.25</v>
      </c>
      <c r="M18" s="4">
        <v>-0.25</v>
      </c>
      <c r="N18" s="4">
        <v>0.25</v>
      </c>
      <c r="O18" s="4">
        <v>0.25</v>
      </c>
      <c r="P18" s="4">
        <v>-0.25</v>
      </c>
      <c r="Q18" s="4">
        <v>0.25</v>
      </c>
      <c r="R18" s="4">
        <v>-0.25</v>
      </c>
      <c r="S18" s="4"/>
      <c r="T18" s="4"/>
      <c r="U18" s="5" t="s">
        <v>178</v>
      </c>
      <c r="V18" s="4"/>
      <c r="W18" s="4">
        <v>0</v>
      </c>
      <c r="X18" s="5" t="s">
        <v>178</v>
      </c>
      <c r="Y18" s="4"/>
    </row>
    <row r="19" spans="2:25" x14ac:dyDescent="0.25">
      <c r="B19" s="4"/>
      <c r="C19" s="4">
        <v>0.25</v>
      </c>
      <c r="D19" s="4">
        <v>0.25</v>
      </c>
      <c r="E19" s="4">
        <v>-0.25</v>
      </c>
      <c r="F19" s="4">
        <v>-0.25</v>
      </c>
      <c r="G19" s="4">
        <v>-0.25</v>
      </c>
      <c r="H19" s="4">
        <v>-0.25</v>
      </c>
      <c r="I19" s="4">
        <v>0.25</v>
      </c>
      <c r="J19" s="4">
        <v>0.25</v>
      </c>
      <c r="K19" s="4">
        <v>-0.25</v>
      </c>
      <c r="L19" s="4">
        <v>-0.25</v>
      </c>
      <c r="M19" s="4">
        <v>0.25</v>
      </c>
      <c r="N19" s="4">
        <v>0.25</v>
      </c>
      <c r="O19" s="4">
        <v>0.25</v>
      </c>
      <c r="P19" s="4">
        <v>0.25</v>
      </c>
      <c r="Q19" s="4">
        <v>-0.25</v>
      </c>
      <c r="R19" s="4">
        <v>-0.25</v>
      </c>
      <c r="S19" s="4"/>
      <c r="T19" s="4"/>
      <c r="U19" s="5" t="s">
        <v>179</v>
      </c>
      <c r="V19" s="4"/>
      <c r="W19" s="4">
        <v>0.25</v>
      </c>
      <c r="X19" s="5" t="s">
        <v>179</v>
      </c>
      <c r="Y19" s="4"/>
    </row>
    <row r="20" spans="2:25" x14ac:dyDescent="0.25">
      <c r="B20" s="4"/>
      <c r="C20" s="4">
        <v>0.25</v>
      </c>
      <c r="D20" s="4">
        <v>-0.25</v>
      </c>
      <c r="E20" s="4">
        <v>-0.25</v>
      </c>
      <c r="F20" s="4">
        <v>0.25</v>
      </c>
      <c r="G20" s="4">
        <v>-0.25</v>
      </c>
      <c r="H20" s="4">
        <v>0.25</v>
      </c>
      <c r="I20" s="4">
        <v>0.25</v>
      </c>
      <c r="J20" s="4">
        <v>-0.25</v>
      </c>
      <c r="K20" s="4">
        <v>-0.25</v>
      </c>
      <c r="L20" s="4">
        <v>0.25</v>
      </c>
      <c r="M20" s="4">
        <v>0.25</v>
      </c>
      <c r="N20" s="4">
        <v>-0.25</v>
      </c>
      <c r="O20" s="4">
        <v>0.25</v>
      </c>
      <c r="P20" s="4">
        <v>-0.25</v>
      </c>
      <c r="Q20" s="4">
        <v>-0.25</v>
      </c>
      <c r="R20" s="4">
        <v>0.25</v>
      </c>
      <c r="S20" s="4"/>
      <c r="T20" s="4"/>
      <c r="U20" s="5" t="s">
        <v>180</v>
      </c>
      <c r="V20" s="4"/>
      <c r="W20" s="4">
        <v>0</v>
      </c>
      <c r="X20" s="5" t="s">
        <v>180</v>
      </c>
      <c r="Y20" s="4"/>
    </row>
    <row r="21" spans="2:25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spans="2:25" x14ac:dyDescent="0.25">
      <c r="C22" s="3"/>
      <c r="H22" s="3"/>
      <c r="K22" s="3"/>
      <c r="N22" s="3"/>
    </row>
    <row r="23" spans="2:25" x14ac:dyDescent="0.25">
      <c r="C23" s="3"/>
      <c r="H23" s="3"/>
      <c r="K23" s="3"/>
      <c r="N23" s="3"/>
    </row>
    <row r="24" spans="2:25" x14ac:dyDescent="0.25">
      <c r="C24" s="3"/>
      <c r="H24" s="3"/>
      <c r="K24" s="3"/>
      <c r="N24" s="3"/>
    </row>
    <row r="25" spans="2:25" x14ac:dyDescent="0.25">
      <c r="C25" s="3"/>
      <c r="H25" s="3"/>
      <c r="K25" s="3"/>
    </row>
    <row r="26" spans="2:25" x14ac:dyDescent="0.25">
      <c r="C26" s="3"/>
      <c r="H26" s="3"/>
      <c r="K26" s="3"/>
    </row>
    <row r="27" spans="2:25" x14ac:dyDescent="0.25">
      <c r="C27" s="3"/>
      <c r="H27" s="3"/>
      <c r="K27" s="3"/>
    </row>
    <row r="28" spans="2:25" x14ac:dyDescent="0.25">
      <c r="C28" s="3"/>
      <c r="H28" s="3"/>
      <c r="K28" s="3"/>
    </row>
    <row r="29" spans="2:25" x14ac:dyDescent="0.25">
      <c r="C29" s="3"/>
      <c r="H29" s="3"/>
      <c r="K29" s="3"/>
    </row>
    <row r="30" spans="2:25" x14ac:dyDescent="0.25">
      <c r="C30" s="3"/>
      <c r="H30" s="3"/>
      <c r="K30" s="3"/>
    </row>
    <row r="31" spans="2:25" x14ac:dyDescent="0.25">
      <c r="C31" s="3"/>
      <c r="H31" s="3"/>
      <c r="K31" s="3"/>
    </row>
    <row r="32" spans="2:25" x14ac:dyDescent="0.25">
      <c r="C32" s="3"/>
      <c r="H32" s="3"/>
      <c r="K32" s="3"/>
    </row>
    <row r="33" spans="3:11" x14ac:dyDescent="0.25">
      <c r="C33" s="3"/>
      <c r="H33" s="3"/>
      <c r="K33" s="3"/>
    </row>
    <row r="34" spans="3:11" x14ac:dyDescent="0.25">
      <c r="C34" s="3"/>
      <c r="H34" s="3"/>
      <c r="K34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2:AH34"/>
  <sheetViews>
    <sheetView zoomScale="75" zoomScaleNormal="75" workbookViewId="0">
      <selection activeCell="AA2" sqref="AA2:AH2"/>
    </sheetView>
  </sheetViews>
  <sheetFormatPr defaultColWidth="5.7109375" defaultRowHeight="24.95" customHeight="1" x14ac:dyDescent="0.25"/>
  <sheetData>
    <row r="2" spans="3:34" ht="24.95" customHeight="1" x14ac:dyDescent="0.25">
      <c r="E2" s="46">
        <v>0.35355339059327401</v>
      </c>
      <c r="F2" s="46">
        <v>-0.35355339059327401</v>
      </c>
      <c r="G2" s="46">
        <v>-0.35355339059327401</v>
      </c>
      <c r="H2" s="46">
        <v>0.35355339059327401</v>
      </c>
      <c r="I2" s="46">
        <v>-0.35355339059327401</v>
      </c>
      <c r="J2" s="46">
        <v>0.35355339059327401</v>
      </c>
      <c r="K2" s="46">
        <v>0.35355339059327401</v>
      </c>
      <c r="L2" s="46">
        <v>-0.35355339059327401</v>
      </c>
      <c r="Q2" s="17">
        <v>0.35355339059327401</v>
      </c>
      <c r="R2" s="17">
        <v>0.35355339059327401</v>
      </c>
      <c r="S2" s="17">
        <v>0.35355339059327401</v>
      </c>
      <c r="T2" s="17">
        <v>0.35355339059327401</v>
      </c>
      <c r="U2" s="17">
        <v>0.35355339059327401</v>
      </c>
      <c r="V2" s="17">
        <v>0.35355339059327401</v>
      </c>
      <c r="W2" s="17">
        <v>0.35355339059327401</v>
      </c>
      <c r="X2" s="17">
        <v>0.35355339059327401</v>
      </c>
      <c r="AA2" s="46"/>
      <c r="AB2" s="46"/>
      <c r="AC2" s="46"/>
      <c r="AD2" s="46"/>
      <c r="AE2" s="46"/>
      <c r="AF2" s="46"/>
      <c r="AG2" s="46"/>
      <c r="AH2" s="46">
        <v>1</v>
      </c>
    </row>
    <row r="3" spans="3:34" ht="24.95" customHeight="1" x14ac:dyDescent="0.25">
      <c r="Q3" s="17">
        <v>0.35355339059327401</v>
      </c>
      <c r="R3" s="17">
        <v>-0.35355339059327401</v>
      </c>
      <c r="S3" s="17">
        <v>0.35355339059327401</v>
      </c>
      <c r="T3" s="17">
        <v>-0.35355339059327401</v>
      </c>
      <c r="U3" s="17">
        <v>0.35355339059327401</v>
      </c>
      <c r="V3" s="17">
        <v>-0.35355339059327401</v>
      </c>
      <c r="W3" s="17">
        <v>0.35355339059327401</v>
      </c>
      <c r="X3" s="17">
        <v>-0.35355339059327401</v>
      </c>
      <c r="AA3" s="9"/>
    </row>
    <row r="4" spans="3:34" ht="24.95" customHeight="1" x14ac:dyDescent="0.25">
      <c r="C4" s="46"/>
      <c r="L4" t="s">
        <v>0</v>
      </c>
      <c r="Q4" s="17">
        <v>0.35355339059327401</v>
      </c>
      <c r="R4" s="17">
        <v>0.35355339059327401</v>
      </c>
      <c r="S4" s="17">
        <v>-0.35355339059327401</v>
      </c>
      <c r="T4" s="17">
        <v>-0.35355339059327401</v>
      </c>
      <c r="U4" s="17">
        <v>0.35355339059327401</v>
      </c>
      <c r="V4" s="17">
        <v>0.35355339059327401</v>
      </c>
      <c r="W4" s="17">
        <v>-0.35355339059327401</v>
      </c>
      <c r="X4" s="17">
        <v>-0.35355339059327401</v>
      </c>
    </row>
    <row r="5" spans="3:34" ht="24.95" customHeight="1" x14ac:dyDescent="0.25">
      <c r="D5" s="46"/>
      <c r="Q5" s="17">
        <v>0.35355339059327401</v>
      </c>
      <c r="R5" s="17">
        <v>-0.35355339059327401</v>
      </c>
      <c r="S5" s="17">
        <v>-0.35355339059327401</v>
      </c>
      <c r="T5" s="17">
        <v>0.35355339059327401</v>
      </c>
      <c r="U5" s="17">
        <v>0.35355339059327401</v>
      </c>
      <c r="V5" s="17">
        <v>-0.35355339059327401</v>
      </c>
      <c r="W5" s="17">
        <v>-0.35355339059327401</v>
      </c>
      <c r="X5" s="17">
        <v>0.35355339059327401</v>
      </c>
    </row>
    <row r="6" spans="3:34" ht="24.95" customHeight="1" x14ac:dyDescent="0.25">
      <c r="E6" s="46"/>
      <c r="Q6" s="17">
        <v>0.35355339059327401</v>
      </c>
      <c r="R6" s="17">
        <v>0.35355339059327401</v>
      </c>
      <c r="S6" s="17">
        <v>0.35355339059327401</v>
      </c>
      <c r="T6" s="17">
        <v>0.35355339059327401</v>
      </c>
      <c r="U6" s="17">
        <v>-0.35355339059327401</v>
      </c>
      <c r="V6" s="17">
        <v>-0.35355339059327401</v>
      </c>
      <c r="W6" s="17">
        <v>-0.35355339059327401</v>
      </c>
      <c r="X6" s="17">
        <v>-0.35355339059327401</v>
      </c>
    </row>
    <row r="7" spans="3:34" ht="24.95" customHeight="1" x14ac:dyDescent="0.25">
      <c r="F7" s="46"/>
      <c r="Q7" s="17">
        <v>0.35355339059327401</v>
      </c>
      <c r="R7" s="17">
        <v>-0.35355339059327401</v>
      </c>
      <c r="S7" s="17">
        <v>0.35355339059327401</v>
      </c>
      <c r="T7" s="17">
        <v>-0.35355339059327401</v>
      </c>
      <c r="U7" s="17">
        <v>-0.35355339059327401</v>
      </c>
      <c r="V7" s="17">
        <v>0.35355339059327401</v>
      </c>
      <c r="W7" s="17">
        <v>-0.35355339059327401</v>
      </c>
      <c r="X7" s="17">
        <v>0.35355339059327401</v>
      </c>
    </row>
    <row r="8" spans="3:34" ht="24.95" customHeight="1" x14ac:dyDescent="0.25">
      <c r="G8" s="46"/>
      <c r="Q8" s="17">
        <v>0.35355339059327401</v>
      </c>
      <c r="R8" s="17">
        <v>0.35355339059327401</v>
      </c>
      <c r="S8" s="17">
        <v>-0.35355339059327401</v>
      </c>
      <c r="T8" s="17">
        <v>-0.35355339059327401</v>
      </c>
      <c r="U8" s="17">
        <v>-0.35355339059327401</v>
      </c>
      <c r="V8" s="17">
        <v>-0.35355339059327401</v>
      </c>
      <c r="W8" s="17">
        <v>0.35355339059327401</v>
      </c>
      <c r="X8" s="17">
        <v>0.35355339059327401</v>
      </c>
    </row>
    <row r="9" spans="3:34" ht="24.95" customHeight="1" x14ac:dyDescent="0.25">
      <c r="H9" s="46"/>
      <c r="Q9" s="17">
        <v>0.35355339059327401</v>
      </c>
      <c r="R9" s="17">
        <v>-0.35355339059327401</v>
      </c>
      <c r="S9" s="17">
        <v>-0.35355339059327401</v>
      </c>
      <c r="T9" s="17">
        <v>0.35355339059327401</v>
      </c>
      <c r="U9" s="17">
        <v>-0.35355339059327401</v>
      </c>
      <c r="V9" s="17">
        <v>0.35355339059327401</v>
      </c>
      <c r="W9" s="17">
        <v>0.35355339059327401</v>
      </c>
      <c r="X9" s="17">
        <v>-0.35355339059327401</v>
      </c>
    </row>
    <row r="10" spans="3:34" ht="24.95" customHeight="1" x14ac:dyDescent="0.25">
      <c r="J10" s="46"/>
      <c r="M10" s="46"/>
      <c r="S10" s="46"/>
    </row>
    <row r="11" spans="3:34" ht="24.95" customHeight="1" x14ac:dyDescent="0.25">
      <c r="I11" s="46"/>
      <c r="P11" s="46"/>
    </row>
    <row r="12" spans="3:34" ht="24.95" customHeight="1" x14ac:dyDescent="0.25">
      <c r="P12" s="9"/>
      <c r="S12" s="9"/>
    </row>
    <row r="13" spans="3:34" ht="24.95" customHeight="1" x14ac:dyDescent="0.25">
      <c r="F13" s="46"/>
      <c r="H13" s="46"/>
      <c r="P13" s="46"/>
    </row>
    <row r="14" spans="3:34" ht="24.95" customHeight="1" x14ac:dyDescent="0.25">
      <c r="E14" s="46"/>
      <c r="I14" s="46"/>
      <c r="Q14" s="46"/>
    </row>
    <row r="15" spans="3:34" ht="24.95" customHeight="1" x14ac:dyDescent="0.25">
      <c r="D15" s="46"/>
      <c r="K15" s="46"/>
      <c r="O15" s="46"/>
    </row>
    <row r="16" spans="3:34" ht="24.95" customHeight="1" x14ac:dyDescent="0.25">
      <c r="C16" s="46"/>
      <c r="J16" s="46"/>
      <c r="N16" s="46"/>
    </row>
    <row r="17" spans="3:32" ht="24.95" customHeight="1" x14ac:dyDescent="0.25">
      <c r="N17" s="9"/>
    </row>
    <row r="19" spans="3:32" ht="24.95" customHeight="1" x14ac:dyDescent="0.25">
      <c r="C19" s="46"/>
      <c r="H19" s="46"/>
      <c r="N19" s="46"/>
      <c r="AF19" s="47" t="s">
        <v>165</v>
      </c>
    </row>
    <row r="20" spans="3:32" ht="24.95" customHeight="1" x14ac:dyDescent="0.25">
      <c r="D20" s="46"/>
      <c r="I20" s="46"/>
      <c r="O20" s="46"/>
      <c r="AF20" s="47" t="s">
        <v>166</v>
      </c>
    </row>
    <row r="21" spans="3:32" ht="24.95" customHeight="1" x14ac:dyDescent="0.25">
      <c r="F21" s="46"/>
      <c r="K21" s="46"/>
      <c r="P21" s="46"/>
      <c r="AF21" s="47" t="s">
        <v>167</v>
      </c>
    </row>
    <row r="22" spans="3:32" ht="24.95" customHeight="1" x14ac:dyDescent="0.25">
      <c r="E22" s="46"/>
      <c r="J22" s="46"/>
      <c r="Q22" s="46"/>
      <c r="AF22" s="47" t="s">
        <v>168</v>
      </c>
    </row>
    <row r="23" spans="3:32" ht="24.95" customHeight="1" x14ac:dyDescent="0.25">
      <c r="N23" s="9"/>
      <c r="AF23" s="47" t="s">
        <v>169</v>
      </c>
    </row>
    <row r="24" spans="3:32" ht="24.95" customHeight="1" x14ac:dyDescent="0.25">
      <c r="AF24" s="47" t="s">
        <v>170</v>
      </c>
    </row>
    <row r="25" spans="3:32" ht="24.95" customHeight="1" x14ac:dyDescent="0.25">
      <c r="AF25" s="47" t="s">
        <v>171</v>
      </c>
    </row>
    <row r="26" spans="3:32" ht="24.95" customHeight="1" x14ac:dyDescent="0.25">
      <c r="T26">
        <v>1</v>
      </c>
      <c r="AF26" s="47" t="s">
        <v>172</v>
      </c>
    </row>
    <row r="27" spans="3:32" ht="24.95" customHeight="1" x14ac:dyDescent="0.25">
      <c r="Z27">
        <v>1</v>
      </c>
      <c r="AF27" s="47" t="s">
        <v>173</v>
      </c>
    </row>
    <row r="28" spans="3:32" ht="24.95" customHeight="1" x14ac:dyDescent="0.25">
      <c r="AA28">
        <v>1</v>
      </c>
      <c r="AF28" s="47" t="s">
        <v>174</v>
      </c>
    </row>
    <row r="29" spans="3:32" ht="24.95" customHeight="1" x14ac:dyDescent="0.25">
      <c r="AC29">
        <v>1</v>
      </c>
      <c r="AF29" s="47" t="s">
        <v>175</v>
      </c>
    </row>
    <row r="30" spans="3:32" ht="24.95" customHeight="1" x14ac:dyDescent="0.25">
      <c r="AB30">
        <v>1</v>
      </c>
      <c r="AF30" s="47" t="s">
        <v>176</v>
      </c>
    </row>
    <row r="31" spans="3:32" ht="24.95" customHeight="1" x14ac:dyDescent="0.25">
      <c r="V31">
        <v>1</v>
      </c>
      <c r="AF31" s="47" t="s">
        <v>177</v>
      </c>
    </row>
    <row r="32" spans="3:32" ht="24.95" customHeight="1" x14ac:dyDescent="0.25">
      <c r="W32">
        <v>1</v>
      </c>
      <c r="AF32" s="47" t="s">
        <v>178</v>
      </c>
    </row>
    <row r="33" spans="24:32" ht="24.95" customHeight="1" x14ac:dyDescent="0.25">
      <c r="Y33">
        <v>1</v>
      </c>
      <c r="AF33" s="47" t="s">
        <v>179</v>
      </c>
    </row>
    <row r="34" spans="24:32" ht="24.95" customHeight="1" x14ac:dyDescent="0.25">
      <c r="X34">
        <v>1</v>
      </c>
      <c r="AF34" s="47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TensorMultiplication</vt:lpstr>
      <vt:lpstr>MatrixMultiplication</vt:lpstr>
      <vt:lpstr>StateVectors</vt:lpstr>
      <vt:lpstr>GateLayers</vt:lpstr>
      <vt:lpstr>Try</vt:lpstr>
      <vt:lpstr>GateLayersTemplate</vt:lpstr>
      <vt:lpstr>UniversalSetOfGates</vt:lpstr>
      <vt:lpstr>CNOT</vt:lpstr>
      <vt:lpstr>Sheet1</vt:lpstr>
      <vt:lpstr>Sheet2</vt:lpstr>
      <vt:lpstr>Sheet3</vt:lpstr>
      <vt:lpstr>Sheet4</vt:lpstr>
      <vt:lpstr>Sheet5</vt:lpstr>
      <vt:lpstr>AM</vt:lpstr>
      <vt:lpstr>BM</vt:lpstr>
      <vt:lpstr>CNOT1on2</vt:lpstr>
      <vt:lpstr>CNOT1on3</vt:lpstr>
      <vt:lpstr>CNOT1on4</vt:lpstr>
      <vt:lpstr>CNOT2on1</vt:lpstr>
      <vt:lpstr>CNOT2on3</vt:lpstr>
      <vt:lpstr>CNOT2on4</vt:lpstr>
      <vt:lpstr>CNOT3on1</vt:lpstr>
      <vt:lpstr>CNOT3on2</vt:lpstr>
      <vt:lpstr>CNOT3on4</vt:lpstr>
      <vt:lpstr>CNOT4on1</vt:lpstr>
      <vt:lpstr>CNOT4on2</vt:lpstr>
      <vt:lpstr>CNOT4on3</vt:lpstr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2020-01-26T15:03:43Z</dcterms:created>
  <dcterms:modified xsi:type="dcterms:W3CDTF">2020-04-28T22:51:57Z</dcterms:modified>
</cp:coreProperties>
</file>